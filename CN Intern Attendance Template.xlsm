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129" codeName="{DC747B9D-DBBB-FA85-71B4-595EBAB97821}"/>
  <workbookPr codeName="ThisWorkbook" defaultThemeVersion="166925"/>
  <mc:AlternateContent xmlns:mc="http://schemas.openxmlformats.org/markup-compatibility/2006">
    <mc:Choice Requires="x15">
      <x15ac:absPath xmlns:x15ac="http://schemas.microsoft.com/office/spreadsheetml/2010/11/ac" url="https://basf-my.sharepoint.com/personal/phicn_basfad_basf_net/Documents/Desktop/form update/intern attendance form/"/>
    </mc:Choice>
  </mc:AlternateContent>
  <xr:revisionPtr revIDLastSave="263" documentId="13_ncr:1_{BE68599E-CBCF-4F62-AD97-C4C1DE64B38A}" xr6:coauthVersionLast="47" xr6:coauthVersionMax="47" xr10:uidLastSave="{B59D7297-2282-42DA-8CA2-9637E2B3BDCB}"/>
  <bookViews>
    <workbookView xWindow="-108" yWindow="-108" windowWidth="23256" windowHeight="12456" tabRatio="899" xr2:uid="{00000000-000D-0000-FFFF-FFFF00000000}"/>
  </bookViews>
  <sheets>
    <sheet name="填表说明 Form Guideline" sheetId="6" r:id="rId1"/>
    <sheet name="Menu" sheetId="7" state="hidden" r:id="rId2"/>
    <sheet name="Office" sheetId="3" state="hidden" r:id="rId3"/>
    <sheet name="BIG_Office" sheetId="17" state="veryHidden" r:id="rId4"/>
    <sheet name="Prod_BCSC" sheetId="5" state="veryHidden" r:id="rId5"/>
    <sheet name="Prod_BAEP" sheetId="15" state="veryHidden" r:id="rId6"/>
    <sheet name="Prod_BPCC" sheetId="18" state="veryHidden" r:id="rId7"/>
    <sheet name="Prod_BACH" sheetId="8" state="veryHidden" r:id="rId8"/>
    <sheet name="Prod_BACC" sheetId="9" state="veryHidden" r:id="rId9"/>
    <sheet name="Prod_BCCS" sheetId="11" state="veryHidden" r:id="rId10"/>
    <sheet name="Prod_BAPS" sheetId="10" state="veryHidden" r:id="rId11"/>
    <sheet name="Prod_BETC" sheetId="12" state="veryHidden" r:id="rId12"/>
    <sheet name="Prod_BIG" sheetId="14" state="veryHidden" r:id="rId13"/>
    <sheet name="Reference" sheetId="1" state="hidden" r:id="rId14"/>
  </sheets>
  <definedNames>
    <definedName name="_xlnm._FilterDatabase" localSheetId="3" hidden="1">BIG_Office!$A$6:$AX$6</definedName>
    <definedName name="_xlnm._FilterDatabase" localSheetId="1" hidden="1">Menu!$B$5:$B$12</definedName>
    <definedName name="_xlnm._FilterDatabase" localSheetId="2" hidden="1">Office!$A$6:$AX$6</definedName>
    <definedName name="_xlnm._FilterDatabase" localSheetId="8" hidden="1">Prod_BACC!$A$5:$BF$5</definedName>
    <definedName name="_xlnm._FilterDatabase" localSheetId="7" hidden="1">Prod_BACH!$A$5:$BF$5</definedName>
    <definedName name="_xlnm._FilterDatabase" localSheetId="5" hidden="1">Prod_BAEP!$A$5:$BF$5</definedName>
    <definedName name="_xlnm._FilterDatabase" localSheetId="10" hidden="1">Prod_BAPS!$A$5:$BE$5</definedName>
    <definedName name="_xlnm._FilterDatabase" localSheetId="9" hidden="1">Prod_BCCS!$A$5:$BF$5</definedName>
    <definedName name="_xlnm._FilterDatabase" localSheetId="4" hidden="1">Prod_BCSC!$A$5:$BF$5</definedName>
    <definedName name="_xlnm._FilterDatabase" localSheetId="11" hidden="1">Prod_BETC!$A$5:$BF$5</definedName>
    <definedName name="_xlnm._FilterDatabase" localSheetId="12" hidden="1">Prod_BIG!$A$5:$BF$5</definedName>
    <definedName name="_xlnm._FilterDatabase" localSheetId="6" hidden="1">Prod_BPCC!$A$5:$BF$5</definedName>
    <definedName name="CN_Date">Reference!$AK$3:$AK$27</definedName>
    <definedName name="EN_Date">Reference!$AJ$3:$AJ$27</definedName>
    <definedName name="Prod_BACC">Reference!$AP$2:$AP$5</definedName>
    <definedName name="Prod_BACH">Reference!$AO$2:$AO$5</definedName>
    <definedName name="Prod_BAPS">Reference!$AQ$2:$AQ$8</definedName>
    <definedName name="Prod_BCSC">Reference!$AN$2:$AN$5</definedName>
    <definedName name="Prod_BIG">Reference!$AR$2:$AR$9</definedName>
    <definedName name="Prod_BPCC">Reference!$AS$3:$AS$5</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AX36" i="18" l="1"/>
  <c r="AX35" i="18"/>
  <c r="AN34" i="18"/>
  <c r="AO33" i="18"/>
  <c r="AN32" i="18"/>
  <c r="AO31" i="18"/>
  <c r="AN30" i="18"/>
  <c r="AO29" i="18"/>
  <c r="AN28" i="18"/>
  <c r="AO27" i="18"/>
  <c r="AN26" i="18"/>
  <c r="AO25" i="18"/>
  <c r="AX24" i="18"/>
  <c r="AN24" i="18"/>
  <c r="AO23" i="18"/>
  <c r="AX22" i="18"/>
  <c r="AN22" i="18"/>
  <c r="AX21" i="18"/>
  <c r="AO21" i="18"/>
  <c r="AX20" i="18"/>
  <c r="AN20" i="18"/>
  <c r="AX19" i="18"/>
  <c r="AO19" i="18"/>
  <c r="AX18" i="18"/>
  <c r="AN18" i="18"/>
  <c r="AX17" i="18"/>
  <c r="AO17" i="18"/>
  <c r="AX16" i="18"/>
  <c r="AN16" i="18"/>
  <c r="AX15" i="18"/>
  <c r="AO15" i="18"/>
  <c r="AX14" i="18"/>
  <c r="AN14" i="18"/>
  <c r="AX13" i="18"/>
  <c r="AO13" i="18"/>
  <c r="AX12" i="18"/>
  <c r="AN12" i="18"/>
  <c r="AX11" i="18"/>
  <c r="AO11" i="18"/>
  <c r="AX10" i="18"/>
  <c r="AN10" i="18"/>
  <c r="AX9" i="18"/>
  <c r="AO9" i="18"/>
  <c r="AX8" i="18"/>
  <c r="AN8" i="18"/>
  <c r="AX7" i="18"/>
  <c r="AO7" i="18"/>
  <c r="AN7" i="18"/>
  <c r="Z5" i="18"/>
  <c r="M5" i="18"/>
  <c r="AJ4" i="18"/>
  <c r="AJ5" i="18" s="1"/>
  <c r="AG4" i="18"/>
  <c r="AG5" i="18" s="1"/>
  <c r="AC4" i="18"/>
  <c r="AC5" i="18" s="1"/>
  <c r="AB4" i="18"/>
  <c r="AB5" i="18" s="1"/>
  <c r="Z4" i="18"/>
  <c r="X4" i="18"/>
  <c r="X5" i="18" s="1"/>
  <c r="T4" i="18"/>
  <c r="T5" i="18" s="1"/>
  <c r="Q4" i="18"/>
  <c r="Q5" i="18" s="1"/>
  <c r="P4" i="18"/>
  <c r="P5" i="18" s="1"/>
  <c r="M4" i="18"/>
  <c r="J4" i="18"/>
  <c r="H4" i="18"/>
  <c r="H5" i="18" s="1"/>
  <c r="D2" i="18"/>
  <c r="AM36" i="18" s="1"/>
  <c r="AV67" i="17"/>
  <c r="AU67" i="17"/>
  <c r="AT67" i="17"/>
  <c r="AV65" i="17"/>
  <c r="AU65" i="17"/>
  <c r="AT65" i="17"/>
  <c r="AV63" i="17"/>
  <c r="AU63" i="17"/>
  <c r="AT63" i="17"/>
  <c r="AV61" i="17"/>
  <c r="AU61" i="17"/>
  <c r="AT61" i="17"/>
  <c r="AV59" i="17"/>
  <c r="AU59" i="17"/>
  <c r="AT59" i="17"/>
  <c r="AV57" i="17"/>
  <c r="AU57" i="17"/>
  <c r="AT57" i="17"/>
  <c r="AV55" i="17"/>
  <c r="AU55" i="17"/>
  <c r="AT55" i="17"/>
  <c r="AV53" i="17"/>
  <c r="AU53" i="17"/>
  <c r="AT53" i="17"/>
  <c r="AV51" i="17"/>
  <c r="AU51" i="17"/>
  <c r="AT51" i="17"/>
  <c r="AV49" i="17"/>
  <c r="AU49" i="17"/>
  <c r="AT49" i="17"/>
  <c r="AV47" i="17"/>
  <c r="AU47" i="17"/>
  <c r="AT47" i="17"/>
  <c r="AV45" i="17"/>
  <c r="AU45" i="17"/>
  <c r="AT45" i="17"/>
  <c r="AV43" i="17"/>
  <c r="AU43" i="17"/>
  <c r="AT43" i="17"/>
  <c r="AV41" i="17"/>
  <c r="AU41" i="17"/>
  <c r="AT41" i="17"/>
  <c r="AV39" i="17"/>
  <c r="AU39" i="17"/>
  <c r="AT39" i="17"/>
  <c r="AV37" i="17"/>
  <c r="AU37" i="17"/>
  <c r="AT37" i="17"/>
  <c r="AV35" i="17"/>
  <c r="AU35" i="17"/>
  <c r="AT35" i="17"/>
  <c r="AV33" i="17"/>
  <c r="AU33" i="17"/>
  <c r="AT33" i="17"/>
  <c r="AV31" i="17"/>
  <c r="AU31" i="17"/>
  <c r="AT31" i="17"/>
  <c r="AV29" i="17"/>
  <c r="AU29" i="17"/>
  <c r="AT29" i="17"/>
  <c r="AV27" i="17"/>
  <c r="AU27" i="17"/>
  <c r="AT27" i="17"/>
  <c r="AV25" i="17"/>
  <c r="AU25" i="17"/>
  <c r="AT25" i="17"/>
  <c r="AV23" i="17"/>
  <c r="AU23" i="17"/>
  <c r="AT23" i="17"/>
  <c r="AV21" i="17"/>
  <c r="AU21" i="17"/>
  <c r="AT21" i="17"/>
  <c r="AV19" i="17"/>
  <c r="AU19" i="17"/>
  <c r="AT19" i="17"/>
  <c r="AV17" i="17"/>
  <c r="AU17" i="17"/>
  <c r="AT17" i="17"/>
  <c r="AV15" i="17"/>
  <c r="AU15" i="17"/>
  <c r="AT15" i="17"/>
  <c r="AV13" i="17"/>
  <c r="AU13" i="17"/>
  <c r="AT13" i="17"/>
  <c r="AV11" i="17"/>
  <c r="AU11" i="17"/>
  <c r="AT11" i="17"/>
  <c r="AV9" i="17"/>
  <c r="AU9" i="17"/>
  <c r="AT9" i="17"/>
  <c r="AV7" i="17"/>
  <c r="AU7" i="17"/>
  <c r="AT7" i="17"/>
  <c r="D2" i="17"/>
  <c r="AK4" i="17" s="1"/>
  <c r="AK6" i="17" s="1"/>
  <c r="AX36" i="15"/>
  <c r="AX35" i="15"/>
  <c r="AX34" i="15"/>
  <c r="AX33" i="15"/>
  <c r="AX32" i="15"/>
  <c r="AX31" i="15"/>
  <c r="AX30" i="15"/>
  <c r="AX29" i="15"/>
  <c r="AX28" i="15"/>
  <c r="AX27" i="15"/>
  <c r="AX26" i="15"/>
  <c r="AX25" i="15"/>
  <c r="AX24" i="15"/>
  <c r="AX23" i="15"/>
  <c r="AX22" i="15"/>
  <c r="AX21" i="15"/>
  <c r="AX20" i="15"/>
  <c r="AX19" i="15"/>
  <c r="AX18" i="15"/>
  <c r="AX17" i="15"/>
  <c r="AX16" i="15"/>
  <c r="AX15" i="15"/>
  <c r="AX14" i="15"/>
  <c r="AX13" i="15"/>
  <c r="AX12" i="15"/>
  <c r="AX11" i="15"/>
  <c r="AX10" i="15"/>
  <c r="AX9" i="15"/>
  <c r="AX8" i="15"/>
  <c r="AX7" i="15"/>
  <c r="AX6" i="15"/>
  <c r="D2" i="15"/>
  <c r="J4" i="15" s="1"/>
  <c r="J5" i="15" s="1"/>
  <c r="AX26" i="18" l="1"/>
  <c r="AX28" i="18"/>
  <c r="AX30" i="18"/>
  <c r="AX32" i="18"/>
  <c r="AX34" i="18"/>
  <c r="L4" i="18"/>
  <c r="L5" i="18" s="1"/>
  <c r="Y4" i="18"/>
  <c r="Y5" i="18" s="1"/>
  <c r="AK4" i="18"/>
  <c r="AK5" i="18" s="1"/>
  <c r="AX6" i="18"/>
  <c r="BB8" i="18"/>
  <c r="BB10" i="18"/>
  <c r="BB12" i="18"/>
  <c r="BB14" i="18"/>
  <c r="BB16" i="18"/>
  <c r="BB18" i="18"/>
  <c r="BB20" i="18"/>
  <c r="BB22" i="18"/>
  <c r="BB24" i="18"/>
  <c r="BB26" i="18"/>
  <c r="BB28" i="18"/>
  <c r="BB30" i="18"/>
  <c r="BB32" i="18"/>
  <c r="BB34" i="18"/>
  <c r="AN9" i="18"/>
  <c r="AN11" i="18"/>
  <c r="AN13" i="18"/>
  <c r="AN15" i="18"/>
  <c r="AN17" i="18"/>
  <c r="AN19" i="18"/>
  <c r="AN21" i="18"/>
  <c r="AN23" i="18"/>
  <c r="AN25" i="18"/>
  <c r="AN27" i="18"/>
  <c r="AN29" i="18"/>
  <c r="AN31" i="18"/>
  <c r="AN33" i="18"/>
  <c r="AN35" i="18"/>
  <c r="AX23" i="18"/>
  <c r="AX25" i="18"/>
  <c r="AX27" i="18"/>
  <c r="AX29" i="18"/>
  <c r="AX31" i="18"/>
  <c r="AX33" i="18"/>
  <c r="AN36" i="18"/>
  <c r="R4" i="18"/>
  <c r="R5" i="18" s="1"/>
  <c r="AF4" i="18"/>
  <c r="AF5" i="18" s="1"/>
  <c r="BB7" i="18"/>
  <c r="BB9" i="18"/>
  <c r="BB11" i="18"/>
  <c r="BB13" i="18"/>
  <c r="BB15" i="18"/>
  <c r="BB17" i="18"/>
  <c r="BB19" i="18"/>
  <c r="BB21" i="18"/>
  <c r="BB23" i="18"/>
  <c r="BB25" i="18"/>
  <c r="BB27" i="18"/>
  <c r="BB29" i="18"/>
  <c r="BB31" i="18"/>
  <c r="BB33" i="18"/>
  <c r="AO36" i="18"/>
  <c r="I4" i="18"/>
  <c r="I5" i="18" s="1"/>
  <c r="U4" i="18"/>
  <c r="U5" i="18" s="1"/>
  <c r="AH4" i="18"/>
  <c r="AH5" i="18" s="1"/>
  <c r="AO8" i="18"/>
  <c r="AO10" i="18"/>
  <c r="AO12" i="18"/>
  <c r="AO14" i="18"/>
  <c r="AO16" i="18"/>
  <c r="AO18" i="18"/>
  <c r="AO20" i="18"/>
  <c r="AO22" i="18"/>
  <c r="AO24" i="18"/>
  <c r="AO26" i="18"/>
  <c r="AO28" i="18"/>
  <c r="AO30" i="18"/>
  <c r="AO32" i="18"/>
  <c r="AO34" i="18"/>
  <c r="BB36" i="18"/>
  <c r="J5" i="18"/>
  <c r="K4" i="18"/>
  <c r="S4" i="18"/>
  <c r="S5" i="18" s="1"/>
  <c r="AA4" i="18"/>
  <c r="AA5" i="18" s="1"/>
  <c r="AI4" i="18"/>
  <c r="AI5" i="18" s="1"/>
  <c r="AM7" i="18"/>
  <c r="AM9" i="18"/>
  <c r="AM11" i="18"/>
  <c r="AM13" i="18"/>
  <c r="AM15" i="18"/>
  <c r="AM17" i="18"/>
  <c r="AM19" i="18"/>
  <c r="AM21" i="18"/>
  <c r="AM23" i="18"/>
  <c r="AM25" i="18"/>
  <c r="AM27" i="18"/>
  <c r="AM29" i="18"/>
  <c r="AM31" i="18"/>
  <c r="AM33" i="18"/>
  <c r="AM35" i="18"/>
  <c r="AO35" i="18"/>
  <c r="BB35" i="18"/>
  <c r="N4" i="18"/>
  <c r="N5" i="18" s="1"/>
  <c r="V4" i="18"/>
  <c r="V5" i="18" s="1"/>
  <c r="AD4" i="18"/>
  <c r="AD5" i="18" s="1"/>
  <c r="AL4" i="18"/>
  <c r="AL5" i="18" s="1"/>
  <c r="G4" i="18"/>
  <c r="O4" i="18"/>
  <c r="O5" i="18" s="1"/>
  <c r="W4" i="18"/>
  <c r="W5" i="18" s="1"/>
  <c r="AE4" i="18"/>
  <c r="AE5" i="18" s="1"/>
  <c r="AM8" i="18"/>
  <c r="AM10" i="18"/>
  <c r="AM12" i="18"/>
  <c r="AM14" i="18"/>
  <c r="AM16" i="18"/>
  <c r="AM18" i="18"/>
  <c r="AM20" i="18"/>
  <c r="AM22" i="18"/>
  <c r="AM24" i="18"/>
  <c r="AM26" i="18"/>
  <c r="AM28" i="18"/>
  <c r="AM30" i="18"/>
  <c r="AM32" i="18"/>
  <c r="AM34" i="18"/>
  <c r="I4" i="17"/>
  <c r="X4" i="17"/>
  <c r="Y4" i="17"/>
  <c r="P4" i="17"/>
  <c r="Q4" i="17"/>
  <c r="AF4" i="17"/>
  <c r="AG4" i="17"/>
  <c r="H4" i="17"/>
  <c r="AK5" i="17"/>
  <c r="R4" i="17"/>
  <c r="R6" i="17" s="1"/>
  <c r="AH4" i="17"/>
  <c r="AH6" i="17" s="1"/>
  <c r="M4" i="17"/>
  <c r="M6" i="17" s="1"/>
  <c r="U4" i="17"/>
  <c r="U6" i="17" s="1"/>
  <c r="AC4" i="17"/>
  <c r="AC6" i="17" s="1"/>
  <c r="N4" i="17"/>
  <c r="N6" i="17" s="1"/>
  <c r="V4" i="17"/>
  <c r="V6" i="17" s="1"/>
  <c r="AD4" i="17"/>
  <c r="AD6" i="17" s="1"/>
  <c r="AL4" i="17"/>
  <c r="AL6" i="17" s="1"/>
  <c r="O4" i="17"/>
  <c r="O6" i="17" s="1"/>
  <c r="W4" i="17"/>
  <c r="W6" i="17" s="1"/>
  <c r="AE4" i="17"/>
  <c r="AE6" i="17" s="1"/>
  <c r="J4" i="17"/>
  <c r="J6" i="17" s="1"/>
  <c r="K4" i="17"/>
  <c r="K6" i="17" s="1"/>
  <c r="S4" i="17"/>
  <c r="S6" i="17" s="1"/>
  <c r="AA4" i="17"/>
  <c r="AA6" i="17" s="1"/>
  <c r="AI4" i="17"/>
  <c r="AI6" i="17" s="1"/>
  <c r="L4" i="17"/>
  <c r="L6" i="17" s="1"/>
  <c r="T4" i="17"/>
  <c r="T6" i="17" s="1"/>
  <c r="AB4" i="17"/>
  <c r="AB6" i="17" s="1"/>
  <c r="AJ4" i="17"/>
  <c r="AJ6" i="17" s="1"/>
  <c r="Z4" i="17"/>
  <c r="Z6" i="17" s="1"/>
  <c r="AO15" i="15"/>
  <c r="AL4" i="15"/>
  <c r="AL5" i="15" s="1"/>
  <c r="AM9" i="15"/>
  <c r="AM13" i="15"/>
  <c r="AM17" i="15"/>
  <c r="R4" i="15"/>
  <c r="R5" i="15" s="1"/>
  <c r="AH4" i="15"/>
  <c r="AH5" i="15" s="1"/>
  <c r="BB9" i="15"/>
  <c r="AO11" i="15"/>
  <c r="BB13" i="15"/>
  <c r="BB36" i="15"/>
  <c r="BB35" i="15"/>
  <c r="AM35" i="15"/>
  <c r="AN34" i="15"/>
  <c r="AO33" i="15"/>
  <c r="BB31" i="15"/>
  <c r="AM31" i="15"/>
  <c r="AN30" i="15"/>
  <c r="AO29" i="15"/>
  <c r="BB27" i="15"/>
  <c r="AM27" i="15"/>
  <c r="AN26" i="15"/>
  <c r="AO25" i="15"/>
  <c r="BB23" i="15"/>
  <c r="AM23" i="15"/>
  <c r="AN22" i="15"/>
  <c r="AO21" i="15"/>
  <c r="BB19" i="15"/>
  <c r="AM19" i="15"/>
  <c r="AN18" i="15"/>
  <c r="AO17" i="15"/>
  <c r="BB15" i="15"/>
  <c r="AM15" i="15"/>
  <c r="AN14" i="15"/>
  <c r="AO13" i="15"/>
  <c r="BB11" i="15"/>
  <c r="AM11" i="15"/>
  <c r="AN10" i="15"/>
  <c r="AO9" i="15"/>
  <c r="AN8" i="15"/>
  <c r="AN7" i="15"/>
  <c r="AJ4" i="15"/>
  <c r="AJ5" i="15" s="1"/>
  <c r="X4" i="15"/>
  <c r="X5" i="15" s="1"/>
  <c r="P4" i="15"/>
  <c r="P5" i="15" s="1"/>
  <c r="H4" i="15"/>
  <c r="H5" i="15" s="1"/>
  <c r="AO36" i="15"/>
  <c r="BB34" i="15"/>
  <c r="AM34" i="15"/>
  <c r="AN33" i="15"/>
  <c r="AO32" i="15"/>
  <c r="BB30" i="15"/>
  <c r="AM30" i="15"/>
  <c r="AN29" i="15"/>
  <c r="AO28" i="15"/>
  <c r="BB26" i="15"/>
  <c r="AM26" i="15"/>
  <c r="AN25" i="15"/>
  <c r="AO24" i="15"/>
  <c r="BB22" i="15"/>
  <c r="AM22" i="15"/>
  <c r="AN21" i="15"/>
  <c r="AO20" i="15"/>
  <c r="BB18" i="15"/>
  <c r="AM18" i="15"/>
  <c r="AN17" i="15"/>
  <c r="AO16" i="15"/>
  <c r="BB14" i="15"/>
  <c r="AM14" i="15"/>
  <c r="AN13" i="15"/>
  <c r="AO12" i="15"/>
  <c r="BB10" i="15"/>
  <c r="AM10" i="15"/>
  <c r="AN9" i="15"/>
  <c r="AM8" i="15"/>
  <c r="AM7" i="15"/>
  <c r="AI4" i="15"/>
  <c r="AI5" i="15" s="1"/>
  <c r="AE4" i="15"/>
  <c r="AE5" i="15" s="1"/>
  <c r="AA4" i="15"/>
  <c r="AA5" i="15" s="1"/>
  <c r="W4" i="15"/>
  <c r="W5" i="15" s="1"/>
  <c r="S4" i="15"/>
  <c r="S5" i="15" s="1"/>
  <c r="O4" i="15"/>
  <c r="O5" i="15" s="1"/>
  <c r="K4" i="15"/>
  <c r="K5" i="15" s="1"/>
  <c r="G4" i="15"/>
  <c r="G5" i="15" s="1"/>
  <c r="AN24" i="15"/>
  <c r="AN20" i="15"/>
  <c r="AN36" i="15"/>
  <c r="AO35" i="15"/>
  <c r="BB33" i="15"/>
  <c r="AM33" i="15"/>
  <c r="AN32" i="15"/>
  <c r="AO31" i="15"/>
  <c r="BB29" i="15"/>
  <c r="AM29" i="15"/>
  <c r="AN28" i="15"/>
  <c r="AO27" i="15"/>
  <c r="BB25" i="15"/>
  <c r="AM25" i="15"/>
  <c r="AO23" i="15"/>
  <c r="BB21" i="15"/>
  <c r="AM21" i="15"/>
  <c r="AM36" i="15"/>
  <c r="AN35" i="15"/>
  <c r="AO34" i="15"/>
  <c r="BB32" i="15"/>
  <c r="AM32" i="15"/>
  <c r="AN31" i="15"/>
  <c r="AO30" i="15"/>
  <c r="BB28" i="15"/>
  <c r="AM28" i="15"/>
  <c r="AN27" i="15"/>
  <c r="AO26" i="15"/>
  <c r="BB24" i="15"/>
  <c r="AM24" i="15"/>
  <c r="AN23" i="15"/>
  <c r="AO22" i="15"/>
  <c r="BB20" i="15"/>
  <c r="AM20" i="15"/>
  <c r="AN19" i="15"/>
  <c r="AO18" i="15"/>
  <c r="BB16" i="15"/>
  <c r="AM16" i="15"/>
  <c r="AN15" i="15"/>
  <c r="AO14" i="15"/>
  <c r="BB12" i="15"/>
  <c r="AM12" i="15"/>
  <c r="AN11" i="15"/>
  <c r="AO10" i="15"/>
  <c r="BB8" i="15"/>
  <c r="AO8" i="15"/>
  <c r="BB7" i="15"/>
  <c r="AO7" i="15"/>
  <c r="BB6" i="15"/>
  <c r="AO6" i="15"/>
  <c r="AK4" i="15"/>
  <c r="AK5" i="15" s="1"/>
  <c r="AG4" i="15"/>
  <c r="AG5" i="15" s="1"/>
  <c r="AC4" i="15"/>
  <c r="AC5" i="15" s="1"/>
  <c r="Y4" i="15"/>
  <c r="Y5" i="15" s="1"/>
  <c r="U4" i="15"/>
  <c r="U5" i="15" s="1"/>
  <c r="Q4" i="15"/>
  <c r="Q5" i="15" s="1"/>
  <c r="M4" i="15"/>
  <c r="M5" i="15" s="1"/>
  <c r="I4" i="15"/>
  <c r="I5" i="15" s="1"/>
  <c r="AF4" i="15"/>
  <c r="AF5" i="15" s="1"/>
  <c r="AB4" i="15"/>
  <c r="AB5" i="15" s="1"/>
  <c r="T4" i="15"/>
  <c r="T5" i="15" s="1"/>
  <c r="L4" i="15"/>
  <c r="L5" i="15" s="1"/>
  <c r="V4" i="15"/>
  <c r="V5" i="15" s="1"/>
  <c r="Z4" i="15"/>
  <c r="Z5" i="15" s="1"/>
  <c r="AO19" i="15"/>
  <c r="N4" i="15"/>
  <c r="N5" i="15" s="1"/>
  <c r="AD4" i="15"/>
  <c r="AD5" i="15" s="1"/>
  <c r="AN12" i="15"/>
  <c r="AN16" i="15"/>
  <c r="BB17" i="15"/>
  <c r="AX22" i="11"/>
  <c r="AX23" i="11"/>
  <c r="AX24" i="11"/>
  <c r="AX25" i="11"/>
  <c r="AX26" i="11"/>
  <c r="AX27" i="11"/>
  <c r="AX28" i="11"/>
  <c r="AX29" i="11"/>
  <c r="AX30" i="11"/>
  <c r="AX31" i="11"/>
  <c r="AX32" i="11"/>
  <c r="AX33" i="11"/>
  <c r="AX34" i="11"/>
  <c r="AX35" i="11"/>
  <c r="AX36" i="11"/>
  <c r="AX21" i="11"/>
  <c r="AX20" i="11"/>
  <c r="AX19" i="11"/>
  <c r="AX18" i="11"/>
  <c r="AX17" i="11"/>
  <c r="AX16" i="11"/>
  <c r="AX15" i="11"/>
  <c r="AX14" i="11"/>
  <c r="AX13" i="11"/>
  <c r="AX12" i="11"/>
  <c r="AX11" i="11"/>
  <c r="AX10" i="11"/>
  <c r="AX9" i="11"/>
  <c r="AX8" i="11"/>
  <c r="AX7" i="11"/>
  <c r="AX22" i="10"/>
  <c r="AX23" i="10"/>
  <c r="AX24" i="10"/>
  <c r="AX25" i="10"/>
  <c r="AX26" i="10"/>
  <c r="AX27" i="10"/>
  <c r="AX28" i="10"/>
  <c r="AX29" i="10"/>
  <c r="AX30" i="10"/>
  <c r="AX31" i="10"/>
  <c r="AX32" i="10"/>
  <c r="AX33" i="10"/>
  <c r="AX34" i="10"/>
  <c r="AX35" i="10"/>
  <c r="AX36" i="10"/>
  <c r="AX21" i="10"/>
  <c r="AX20" i="10"/>
  <c r="AX19" i="10"/>
  <c r="AX18" i="10"/>
  <c r="AX17" i="10"/>
  <c r="AX16" i="10"/>
  <c r="AX15" i="10"/>
  <c r="AX14" i="10"/>
  <c r="AX13" i="10"/>
  <c r="AX12" i="10"/>
  <c r="AX11" i="10"/>
  <c r="AX10" i="10"/>
  <c r="AX9" i="10"/>
  <c r="AX8" i="10"/>
  <c r="AX7" i="10"/>
  <c r="AV67" i="3"/>
  <c r="AU67" i="3"/>
  <c r="AT67" i="3"/>
  <c r="AV65" i="3"/>
  <c r="AU65" i="3"/>
  <c r="AT65" i="3"/>
  <c r="AV63" i="3"/>
  <c r="AU63" i="3"/>
  <c r="AT63" i="3"/>
  <c r="AV61" i="3"/>
  <c r="AU61" i="3"/>
  <c r="AT61" i="3"/>
  <c r="AV59" i="3"/>
  <c r="AU59" i="3"/>
  <c r="AT59" i="3"/>
  <c r="AV57" i="3"/>
  <c r="AU57" i="3"/>
  <c r="AT57" i="3"/>
  <c r="AV55" i="3"/>
  <c r="AU55" i="3"/>
  <c r="AT55" i="3"/>
  <c r="AV53" i="3"/>
  <c r="AU53" i="3"/>
  <c r="AT53" i="3"/>
  <c r="AV51" i="3"/>
  <c r="AU51" i="3"/>
  <c r="AT51" i="3"/>
  <c r="AV49" i="3"/>
  <c r="AU49" i="3"/>
  <c r="AT49" i="3"/>
  <c r="AV47" i="3"/>
  <c r="AU47" i="3"/>
  <c r="AT47" i="3"/>
  <c r="AV45" i="3"/>
  <c r="AU45" i="3"/>
  <c r="AT45" i="3"/>
  <c r="AV43" i="3"/>
  <c r="AU43" i="3"/>
  <c r="AT43" i="3"/>
  <c r="AV41" i="3"/>
  <c r="AU41" i="3"/>
  <c r="AT41" i="3"/>
  <c r="AV39" i="3"/>
  <c r="AU39" i="3"/>
  <c r="AT39" i="3"/>
  <c r="AV37" i="3"/>
  <c r="AU37" i="3"/>
  <c r="AT37" i="3"/>
  <c r="AV35" i="3"/>
  <c r="AU35" i="3"/>
  <c r="AT35" i="3"/>
  <c r="AV33" i="3"/>
  <c r="AU33" i="3"/>
  <c r="AT33" i="3"/>
  <c r="AV31" i="3"/>
  <c r="AU31" i="3"/>
  <c r="AT31" i="3"/>
  <c r="AV29" i="3"/>
  <c r="AU29" i="3"/>
  <c r="AT29" i="3"/>
  <c r="AV27" i="3"/>
  <c r="AU27" i="3"/>
  <c r="AT27" i="3"/>
  <c r="AV25" i="3"/>
  <c r="AU25" i="3"/>
  <c r="AT25" i="3"/>
  <c r="AV23" i="3"/>
  <c r="AU23" i="3"/>
  <c r="AT23" i="3"/>
  <c r="AM6" i="18" l="1"/>
  <c r="G5" i="18"/>
  <c r="AN6" i="18"/>
  <c r="K5" i="18"/>
  <c r="AS25" i="18" s="1"/>
  <c r="AO6" i="18"/>
  <c r="BB6" i="18"/>
  <c r="I5" i="17"/>
  <c r="I6" i="17"/>
  <c r="H5" i="17"/>
  <c r="H6" i="17"/>
  <c r="X5" i="17"/>
  <c r="X6" i="17"/>
  <c r="AG6" i="17"/>
  <c r="AG5" i="17"/>
  <c r="AF5" i="17"/>
  <c r="AF6" i="17"/>
  <c r="Q6" i="17"/>
  <c r="Q5" i="17"/>
  <c r="P5" i="17"/>
  <c r="P6" i="17"/>
  <c r="Y6" i="17"/>
  <c r="Y5" i="17"/>
  <c r="AB5" i="17"/>
  <c r="AE5" i="17"/>
  <c r="AD5" i="17"/>
  <c r="L5" i="17"/>
  <c r="O5" i="17"/>
  <c r="N5" i="17"/>
  <c r="T5" i="17"/>
  <c r="V5" i="17"/>
  <c r="AI5" i="17"/>
  <c r="AC5" i="17"/>
  <c r="U5" i="17"/>
  <c r="S5" i="17"/>
  <c r="M5" i="17"/>
  <c r="W5" i="17"/>
  <c r="Z5" i="17"/>
  <c r="K5" i="17"/>
  <c r="AH5" i="17"/>
  <c r="AA5" i="17"/>
  <c r="AJ5" i="17"/>
  <c r="J5" i="17"/>
  <c r="AL5" i="17"/>
  <c r="R5" i="17"/>
  <c r="AS6" i="15"/>
  <c r="BA6" i="15" s="1"/>
  <c r="AS34" i="15"/>
  <c r="BA34" i="15" s="1"/>
  <c r="AS8" i="15"/>
  <c r="AS11" i="15"/>
  <c r="AS15" i="15"/>
  <c r="AS19" i="15"/>
  <c r="AS23" i="15"/>
  <c r="AS27" i="15"/>
  <c r="AS31" i="15"/>
  <c r="AS35" i="15"/>
  <c r="AS7" i="15"/>
  <c r="AS12" i="15"/>
  <c r="AS16" i="15"/>
  <c r="AS20" i="15"/>
  <c r="AS24" i="15"/>
  <c r="AS28" i="15"/>
  <c r="AS32" i="15"/>
  <c r="AS36" i="15"/>
  <c r="AN6" i="15"/>
  <c r="AS9" i="15"/>
  <c r="AS13" i="15"/>
  <c r="AS17" i="15"/>
  <c r="AS21" i="15"/>
  <c r="AS25" i="15"/>
  <c r="AS29" i="15"/>
  <c r="AS33" i="15"/>
  <c r="AM6" i="15"/>
  <c r="AS10" i="15"/>
  <c r="AS14" i="15"/>
  <c r="AS18" i="15"/>
  <c r="AS22" i="15"/>
  <c r="AS26" i="15"/>
  <c r="AS30" i="15"/>
  <c r="D2" i="14"/>
  <c r="AS24" i="18" l="1"/>
  <c r="AV24" i="18" s="1"/>
  <c r="AW24" i="18" s="1"/>
  <c r="AS20" i="18"/>
  <c r="AV20" i="18" s="1"/>
  <c r="AW20" i="18" s="1"/>
  <c r="AS23" i="18"/>
  <c r="AV23" i="18" s="1"/>
  <c r="AW23" i="18" s="1"/>
  <c r="AS36" i="18"/>
  <c r="AV36" i="18" s="1"/>
  <c r="AW36" i="18" s="1"/>
  <c r="AS6" i="18"/>
  <c r="AV6" i="18" s="1"/>
  <c r="AW6" i="18" s="1"/>
  <c r="AS22" i="18"/>
  <c r="AV22" i="18" s="1"/>
  <c r="AW22" i="18" s="1"/>
  <c r="AS28" i="18"/>
  <c r="BA28" i="18" s="1"/>
  <c r="AS14" i="18"/>
  <c r="AV14" i="18" s="1"/>
  <c r="AW14" i="18" s="1"/>
  <c r="AS18" i="18"/>
  <c r="AS34" i="18"/>
  <c r="AS17" i="18"/>
  <c r="AS19" i="18"/>
  <c r="AS35" i="18"/>
  <c r="AS33" i="18"/>
  <c r="AS15" i="18"/>
  <c r="AS30" i="18"/>
  <c r="AS13" i="18"/>
  <c r="AS29" i="18"/>
  <c r="AS8" i="18"/>
  <c r="AS32" i="18"/>
  <c r="AS31" i="18"/>
  <c r="AS21" i="18"/>
  <c r="AS9" i="18"/>
  <c r="AV25" i="18"/>
  <c r="AW25" i="18" s="1"/>
  <c r="BA25" i="18"/>
  <c r="AS7" i="18"/>
  <c r="AS11" i="18"/>
  <c r="AS27" i="18"/>
  <c r="AS10" i="18"/>
  <c r="AS16" i="18"/>
  <c r="AS26" i="18"/>
  <c r="AS12" i="18"/>
  <c r="AR9" i="17" a="1"/>
  <c r="AR9" i="17" s="1"/>
  <c r="AR23" i="17" a="1"/>
  <c r="AR23" i="17" s="1"/>
  <c r="AR35" i="17" a="1"/>
  <c r="AR35" i="17" s="1"/>
  <c r="AR63" i="17" a="1"/>
  <c r="AR63" i="17" s="1"/>
  <c r="AQ17" i="17" a="1"/>
  <c r="AQ17" i="17" s="1"/>
  <c r="AQ45" i="17" a="1"/>
  <c r="AQ45" i="17" s="1"/>
  <c r="AR11" i="17" a="1"/>
  <c r="AR11" i="17" s="1"/>
  <c r="AR65" i="17" a="1"/>
  <c r="AR65" i="17" s="1"/>
  <c r="AQ63" i="17" a="1"/>
  <c r="AQ63" i="17" s="1"/>
  <c r="AR13" i="17" a="1"/>
  <c r="AR13" i="17" s="1"/>
  <c r="AR25" i="17" a="1"/>
  <c r="AR25" i="17" s="1"/>
  <c r="AR39" i="17" a="1"/>
  <c r="AR39" i="17" s="1"/>
  <c r="AR51" i="17" a="1"/>
  <c r="AR51" i="17" s="1"/>
  <c r="AR67" i="17" a="1"/>
  <c r="AR67" i="17" s="1"/>
  <c r="AQ21" i="17" a="1"/>
  <c r="AQ21" i="17" s="1"/>
  <c r="AQ35" i="17" a="1"/>
  <c r="AQ35" i="17" s="1"/>
  <c r="AQ49" i="17" a="1"/>
  <c r="AQ49" i="17" s="1"/>
  <c r="AQ65" i="17" a="1"/>
  <c r="AQ65" i="17" s="1"/>
  <c r="AR41" i="17" a="1"/>
  <c r="AR41" i="17" s="1"/>
  <c r="AR55" i="17" a="1"/>
  <c r="AR55" i="17" s="1"/>
  <c r="AQ11" i="17" a="1"/>
  <c r="AQ11" i="17" s="1"/>
  <c r="AQ39" i="17" a="1"/>
  <c r="AQ39" i="17" s="1"/>
  <c r="AR7" i="17" a="1"/>
  <c r="AR7" i="17" s="1"/>
  <c r="AR17" i="17" a="1"/>
  <c r="AR17" i="17" s="1"/>
  <c r="AR43" i="17" a="1"/>
  <c r="AR43" i="17" s="1"/>
  <c r="AQ13" i="17" a="1"/>
  <c r="AQ13" i="17" s="1"/>
  <c r="AQ55" i="17" a="1"/>
  <c r="AQ55" i="17" s="1"/>
  <c r="AR49" i="17" a="1"/>
  <c r="AR49" i="17" s="1"/>
  <c r="AQ47" i="17" a="1"/>
  <c r="AQ47" i="17" s="1"/>
  <c r="AR15" i="17" a="1"/>
  <c r="AR15" i="17" s="1"/>
  <c r="AR27" i="17" a="1"/>
  <c r="AR27" i="17" s="1"/>
  <c r="AR53" i="17" a="1"/>
  <c r="AR53" i="17" s="1"/>
  <c r="AQ9" i="17" a="1"/>
  <c r="AQ9" i="17" s="1"/>
  <c r="AQ23" i="17" a="1"/>
  <c r="AQ23" i="17" s="1"/>
  <c r="AQ37" i="17" a="1"/>
  <c r="AQ37" i="17" s="1"/>
  <c r="AQ51" i="17" a="1"/>
  <c r="AQ51" i="17" s="1"/>
  <c r="AQ67" i="17" a="1"/>
  <c r="AQ67" i="17" s="1"/>
  <c r="AR29" i="17" a="1"/>
  <c r="AR29" i="17" s="1"/>
  <c r="AQ53" i="17" a="1"/>
  <c r="AQ53" i="17" s="1"/>
  <c r="AR31" i="17" a="1"/>
  <c r="AR31" i="17" s="1"/>
  <c r="AR57" i="17" a="1"/>
  <c r="AR57" i="17" s="1"/>
  <c r="AQ25" i="17" a="1"/>
  <c r="AQ25" i="17" s="1"/>
  <c r="AQ7" i="17" a="1"/>
  <c r="AQ7" i="17" s="1"/>
  <c r="AQ19" i="17" a="1"/>
  <c r="AQ19" i="17" s="1"/>
  <c r="AR19" i="17" a="1"/>
  <c r="AR19" i="17" s="1"/>
  <c r="AR45" i="17" a="1"/>
  <c r="AR45" i="17" s="1"/>
  <c r="AR59" i="17" a="1"/>
  <c r="AR59" i="17" s="1"/>
  <c r="AQ15" i="17" a="1"/>
  <c r="AQ15" i="17" s="1"/>
  <c r="AQ27" i="17" a="1"/>
  <c r="AQ27" i="17" s="1"/>
  <c r="AQ41" i="17" a="1"/>
  <c r="AQ41" i="17" s="1"/>
  <c r="AQ57" i="17" a="1"/>
  <c r="AQ57" i="17" s="1"/>
  <c r="AR21" i="17" a="1"/>
  <c r="AR21" i="17" s="1"/>
  <c r="AR33" i="17" a="1"/>
  <c r="AR33" i="17" s="1"/>
  <c r="AR47" i="17" a="1"/>
  <c r="AR47" i="17" s="1"/>
  <c r="AR61" i="17" a="1"/>
  <c r="AR61" i="17" s="1"/>
  <c r="AQ29" i="17" a="1"/>
  <c r="AQ29" i="17" s="1"/>
  <c r="AQ43" i="17" a="1"/>
  <c r="AQ43" i="17" s="1"/>
  <c r="AQ59" i="17" a="1"/>
  <c r="AQ59" i="17" s="1"/>
  <c r="AQ31" i="17" a="1"/>
  <c r="AQ31" i="17" s="1"/>
  <c r="AQ61" i="17" a="1"/>
  <c r="AQ61" i="17" s="1"/>
  <c r="AR37" i="17" a="1"/>
  <c r="AR37" i="17" s="1"/>
  <c r="AQ33" i="17" a="1"/>
  <c r="AQ33" i="17" s="1"/>
  <c r="AS11" i="17"/>
  <c r="AS27" i="17"/>
  <c r="AS63" i="17"/>
  <c r="AS41" i="17"/>
  <c r="AS43" i="17"/>
  <c r="AS67" i="17"/>
  <c r="AS65" i="17"/>
  <c r="AS19" i="17"/>
  <c r="AS57" i="17"/>
  <c r="AS51" i="17"/>
  <c r="AS49" i="17"/>
  <c r="AS59" i="17"/>
  <c r="AS53" i="17"/>
  <c r="AS17" i="17"/>
  <c r="AS13" i="17"/>
  <c r="AS21" i="17"/>
  <c r="AS29" i="17"/>
  <c r="AS33" i="17"/>
  <c r="AS37" i="17"/>
  <c r="AS23" i="17"/>
  <c r="AS15" i="17"/>
  <c r="AS45" i="17"/>
  <c r="AS35" i="17"/>
  <c r="AS39" i="17"/>
  <c r="AS31" i="17"/>
  <c r="AS61" i="17"/>
  <c r="AS7" i="17"/>
  <c r="AS9" i="17"/>
  <c r="AS55" i="17"/>
  <c r="AS47" i="17"/>
  <c r="AS25" i="17"/>
  <c r="AV34" i="15"/>
  <c r="AW34" i="15" s="1"/>
  <c r="AZ34" i="15" s="1"/>
  <c r="AV6" i="15"/>
  <c r="AW6" i="15" s="1"/>
  <c r="AZ6" i="15" s="1"/>
  <c r="BA18" i="15"/>
  <c r="AV18" i="15"/>
  <c r="AW18" i="15" s="1"/>
  <c r="BA33" i="15"/>
  <c r="AV33" i="15"/>
  <c r="AW33" i="15" s="1"/>
  <c r="BA17" i="15"/>
  <c r="AV17" i="15"/>
  <c r="AW17" i="15" s="1"/>
  <c r="BA36" i="15"/>
  <c r="AV36" i="15"/>
  <c r="AW36" i="15" s="1"/>
  <c r="BA20" i="15"/>
  <c r="AV20" i="15"/>
  <c r="AW20" i="15" s="1"/>
  <c r="BA35" i="15"/>
  <c r="AV35" i="15"/>
  <c r="AW35" i="15" s="1"/>
  <c r="BA19" i="15"/>
  <c r="AV19" i="15"/>
  <c r="AW19" i="15" s="1"/>
  <c r="BA30" i="15"/>
  <c r="AV30" i="15"/>
  <c r="AW30" i="15" s="1"/>
  <c r="BA14" i="15"/>
  <c r="AV14" i="15"/>
  <c r="AW14" i="15" s="1"/>
  <c r="BA29" i="15"/>
  <c r="AV29" i="15"/>
  <c r="AW29" i="15" s="1"/>
  <c r="BA13" i="15"/>
  <c r="AV13" i="15"/>
  <c r="AW13" i="15" s="1"/>
  <c r="BA32" i="15"/>
  <c r="AV32" i="15"/>
  <c r="AW32" i="15" s="1"/>
  <c r="BA16" i="15"/>
  <c r="AV16" i="15"/>
  <c r="AW16" i="15" s="1"/>
  <c r="BA31" i="15"/>
  <c r="AV31" i="15"/>
  <c r="AW31" i="15" s="1"/>
  <c r="BA15" i="15"/>
  <c r="AV15" i="15"/>
  <c r="AW15" i="15" s="1"/>
  <c r="BA10" i="15"/>
  <c r="AV10" i="15"/>
  <c r="AW10" i="15" s="1"/>
  <c r="BA25" i="15"/>
  <c r="AV25" i="15"/>
  <c r="AW25" i="15" s="1"/>
  <c r="BA9" i="15"/>
  <c r="AV9" i="15"/>
  <c r="AW9" i="15" s="1"/>
  <c r="BA28" i="15"/>
  <c r="AV28" i="15"/>
  <c r="AW28" i="15" s="1"/>
  <c r="BA12" i="15"/>
  <c r="AV12" i="15"/>
  <c r="AW12" i="15" s="1"/>
  <c r="BA27" i="15"/>
  <c r="AV27" i="15"/>
  <c r="AW27" i="15" s="1"/>
  <c r="BA11" i="15"/>
  <c r="AV11" i="15"/>
  <c r="AW11" i="15" s="1"/>
  <c r="BA26" i="15"/>
  <c r="AV26" i="15"/>
  <c r="AW26" i="15" s="1"/>
  <c r="BA22" i="15"/>
  <c r="AV22" i="15"/>
  <c r="AW22" i="15" s="1"/>
  <c r="BA21" i="15"/>
  <c r="AV21" i="15"/>
  <c r="AW21" i="15" s="1"/>
  <c r="BA24" i="15"/>
  <c r="AV24" i="15"/>
  <c r="AW24" i="15" s="1"/>
  <c r="BA7" i="15"/>
  <c r="AV7" i="15"/>
  <c r="AW7" i="15" s="1"/>
  <c r="BA23" i="15"/>
  <c r="AV23" i="15"/>
  <c r="AW23" i="15" s="1"/>
  <c r="BA8" i="15"/>
  <c r="AV8" i="15"/>
  <c r="AW8" i="15" s="1"/>
  <c r="AN22" i="14"/>
  <c r="BB22" i="14"/>
  <c r="AN24" i="14"/>
  <c r="BB24" i="14"/>
  <c r="AN26" i="14"/>
  <c r="BB26" i="14"/>
  <c r="AN28" i="14"/>
  <c r="BB28" i="14"/>
  <c r="AN30" i="14"/>
  <c r="BB30" i="14"/>
  <c r="AN32" i="14"/>
  <c r="BB32" i="14"/>
  <c r="AN34" i="14"/>
  <c r="BB34" i="14"/>
  <c r="AN36" i="14"/>
  <c r="BB36" i="14"/>
  <c r="AO21" i="14"/>
  <c r="AX20" i="14"/>
  <c r="AM20" i="14"/>
  <c r="AO19" i="14"/>
  <c r="AX18" i="14"/>
  <c r="AM18" i="14"/>
  <c r="AO17" i="14"/>
  <c r="AX16" i="14"/>
  <c r="AM16" i="14"/>
  <c r="AO15" i="14"/>
  <c r="AX14" i="14"/>
  <c r="AM14" i="14"/>
  <c r="AO13" i="14"/>
  <c r="AX12" i="14"/>
  <c r="AM12" i="14"/>
  <c r="AO11" i="14"/>
  <c r="AX10" i="14"/>
  <c r="AM10" i="14"/>
  <c r="AO9" i="14"/>
  <c r="AX8" i="14"/>
  <c r="AM8" i="14"/>
  <c r="AO7" i="14"/>
  <c r="AO22" i="14"/>
  <c r="AM23" i="14"/>
  <c r="AX23" i="14"/>
  <c r="AO24" i="14"/>
  <c r="AM25" i="14"/>
  <c r="AX25" i="14"/>
  <c r="AO26" i="14"/>
  <c r="AM27" i="14"/>
  <c r="AX27" i="14"/>
  <c r="AO28" i="14"/>
  <c r="AM29" i="14"/>
  <c r="AX29" i="14"/>
  <c r="AO30" i="14"/>
  <c r="AM31" i="14"/>
  <c r="AX31" i="14"/>
  <c r="AO32" i="14"/>
  <c r="AM33" i="14"/>
  <c r="AX33" i="14"/>
  <c r="AO34" i="14"/>
  <c r="AM35" i="14"/>
  <c r="AX35" i="14"/>
  <c r="AO36" i="14"/>
  <c r="BB21" i="14"/>
  <c r="AN21" i="14"/>
  <c r="BB19" i="14"/>
  <c r="AN19" i="14"/>
  <c r="BB17" i="14"/>
  <c r="AN17" i="14"/>
  <c r="BB15" i="14"/>
  <c r="AN15" i="14"/>
  <c r="BB13" i="14"/>
  <c r="AN13" i="14"/>
  <c r="BB11" i="14"/>
  <c r="AN11" i="14"/>
  <c r="BB9" i="14"/>
  <c r="AN9" i="14"/>
  <c r="BB7" i="14"/>
  <c r="AN7" i="14"/>
  <c r="AN23" i="14"/>
  <c r="BB25" i="14"/>
  <c r="AN27" i="14"/>
  <c r="BB29" i="14"/>
  <c r="AN31" i="14"/>
  <c r="BB33" i="14"/>
  <c r="AN35" i="14"/>
  <c r="AM21" i="14"/>
  <c r="AX19" i="14"/>
  <c r="AO18" i="14"/>
  <c r="AM17" i="14"/>
  <c r="AX15" i="14"/>
  <c r="AO14" i="14"/>
  <c r="AM13" i="14"/>
  <c r="AX11" i="14"/>
  <c r="AO10" i="14"/>
  <c r="AM9" i="14"/>
  <c r="AX7" i="14"/>
  <c r="AM22" i="14"/>
  <c r="AO23" i="14"/>
  <c r="AX24" i="14"/>
  <c r="AM26" i="14"/>
  <c r="AO27" i="14"/>
  <c r="AX28" i="14"/>
  <c r="AM30" i="14"/>
  <c r="AO31" i="14"/>
  <c r="AX32" i="14"/>
  <c r="AM34" i="14"/>
  <c r="AO35" i="14"/>
  <c r="AX36" i="14"/>
  <c r="BB20" i="14"/>
  <c r="AN18" i="14"/>
  <c r="BB16" i="14"/>
  <c r="AN14" i="14"/>
  <c r="BB12" i="14"/>
  <c r="AN10" i="14"/>
  <c r="BB8" i="14"/>
  <c r="AM24" i="14"/>
  <c r="AX26" i="14"/>
  <c r="AO29" i="14"/>
  <c r="AM32" i="14"/>
  <c r="AX34" i="14"/>
  <c r="BB18" i="14"/>
  <c r="AN16" i="14"/>
  <c r="BB10" i="14"/>
  <c r="AN8" i="14"/>
  <c r="AN25" i="14"/>
  <c r="BB27" i="14"/>
  <c r="AN33" i="14"/>
  <c r="BB35" i="14"/>
  <c r="AO20" i="14"/>
  <c r="AX17" i="14"/>
  <c r="AM15" i="14"/>
  <c r="AO12" i="14"/>
  <c r="AX9" i="14"/>
  <c r="AM7" i="14"/>
  <c r="AX22" i="14"/>
  <c r="AO25" i="14"/>
  <c r="AM28" i="14"/>
  <c r="AX30" i="14"/>
  <c r="AO33" i="14"/>
  <c r="AM36" i="14"/>
  <c r="AN20" i="14"/>
  <c r="BB14" i="14"/>
  <c r="AN12" i="14"/>
  <c r="BB23" i="14"/>
  <c r="AX13" i="14"/>
  <c r="AX21" i="14"/>
  <c r="AM11" i="14"/>
  <c r="AN29" i="14"/>
  <c r="AM19" i="14"/>
  <c r="AO8" i="14"/>
  <c r="AO16" i="14"/>
  <c r="BB31" i="14"/>
  <c r="M4" i="14"/>
  <c r="M5" i="14" s="1"/>
  <c r="U4" i="14"/>
  <c r="U5" i="14" s="1"/>
  <c r="AC4" i="14"/>
  <c r="AC5" i="14" s="1"/>
  <c r="AK4" i="14"/>
  <c r="AK5" i="14" s="1"/>
  <c r="S4" i="14"/>
  <c r="S5" i="14" s="1"/>
  <c r="AI4" i="14"/>
  <c r="AI5" i="14" s="1"/>
  <c r="W4" i="14"/>
  <c r="W5" i="14" s="1"/>
  <c r="K4" i="14"/>
  <c r="K5" i="14" s="1"/>
  <c r="AA4" i="14"/>
  <c r="AA5" i="14" s="1"/>
  <c r="G4" i="14"/>
  <c r="G5" i="14" s="1"/>
  <c r="O4" i="14"/>
  <c r="O5" i="14" s="1"/>
  <c r="AE4" i="14"/>
  <c r="AE5" i="14" s="1"/>
  <c r="AO6" i="14"/>
  <c r="I4" i="14"/>
  <c r="I5" i="14" s="1"/>
  <c r="Q4" i="14"/>
  <c r="Q5" i="14" s="1"/>
  <c r="Y4" i="14"/>
  <c r="Y5" i="14" s="1"/>
  <c r="AG4" i="14"/>
  <c r="AG5" i="14" s="1"/>
  <c r="AX6" i="14"/>
  <c r="H4" i="14"/>
  <c r="H5" i="14" s="1"/>
  <c r="L4" i="14"/>
  <c r="L5" i="14" s="1"/>
  <c r="P4" i="14"/>
  <c r="P5" i="14" s="1"/>
  <c r="T4" i="14"/>
  <c r="T5" i="14" s="1"/>
  <c r="X4" i="14"/>
  <c r="X5" i="14" s="1"/>
  <c r="AB4" i="14"/>
  <c r="AB5" i="14" s="1"/>
  <c r="AF4" i="14"/>
  <c r="AF5" i="14" s="1"/>
  <c r="AJ4" i="14"/>
  <c r="AJ5" i="14" s="1"/>
  <c r="J4" i="14"/>
  <c r="N4" i="14"/>
  <c r="N5" i="14" s="1"/>
  <c r="R4" i="14"/>
  <c r="R5" i="14" s="1"/>
  <c r="V4" i="14"/>
  <c r="V5" i="14" s="1"/>
  <c r="Z4" i="14"/>
  <c r="Z5" i="14" s="1"/>
  <c r="AD4" i="14"/>
  <c r="AD5" i="14" s="1"/>
  <c r="AH4" i="14"/>
  <c r="AH5" i="14" s="1"/>
  <c r="AL4" i="14"/>
  <c r="AL5" i="14" s="1"/>
  <c r="D2" i="12"/>
  <c r="AE4" i="12" s="1"/>
  <c r="AE5" i="12" s="1"/>
  <c r="BA36" i="18" l="1"/>
  <c r="BA23" i="18"/>
  <c r="H4" i="12"/>
  <c r="H5" i="12" s="1"/>
  <c r="X4" i="12"/>
  <c r="X5" i="12" s="1"/>
  <c r="L4" i="12"/>
  <c r="L5" i="12" s="1"/>
  <c r="Y4" i="12"/>
  <c r="Y5" i="12" s="1"/>
  <c r="AJ4" i="12"/>
  <c r="AJ5" i="12" s="1"/>
  <c r="M4" i="12"/>
  <c r="M5" i="12" s="1"/>
  <c r="AX6" i="12"/>
  <c r="O4" i="12"/>
  <c r="O5" i="12" s="1"/>
  <c r="AC4" i="12"/>
  <c r="AC5" i="12" s="1"/>
  <c r="Q4" i="12"/>
  <c r="Q5" i="12" s="1"/>
  <c r="AX25" i="12"/>
  <c r="AX33" i="12"/>
  <c r="AX17" i="12"/>
  <c r="AX9" i="12"/>
  <c r="AX26" i="12"/>
  <c r="AX34" i="12"/>
  <c r="AX16" i="12"/>
  <c r="AX8" i="12"/>
  <c r="AX14" i="12"/>
  <c r="AX29" i="12"/>
  <c r="AX27" i="12"/>
  <c r="AX35" i="12"/>
  <c r="AX15" i="12"/>
  <c r="AX7" i="12"/>
  <c r="AX36" i="12"/>
  <c r="AX21" i="12"/>
  <c r="AX13" i="12"/>
  <c r="AX28" i="12"/>
  <c r="AX22" i="12"/>
  <c r="AX30" i="12"/>
  <c r="AX20" i="12"/>
  <c r="AX12" i="12"/>
  <c r="AX32" i="12"/>
  <c r="AX10" i="12"/>
  <c r="AX23" i="12"/>
  <c r="AX31" i="12"/>
  <c r="AX19" i="12"/>
  <c r="AX11" i="12"/>
  <c r="AX24" i="12"/>
  <c r="AX18" i="12"/>
  <c r="S4" i="12"/>
  <c r="S5" i="12" s="1"/>
  <c r="AG4" i="12"/>
  <c r="AG5" i="12" s="1"/>
  <c r="W4" i="12"/>
  <c r="W5" i="12" s="1"/>
  <c r="I4" i="12"/>
  <c r="I5" i="12" s="1"/>
  <c r="AB4" i="12"/>
  <c r="AB5" i="12" s="1"/>
  <c r="G4" i="12"/>
  <c r="T4" i="12"/>
  <c r="T5" i="12" s="1"/>
  <c r="AI4" i="12"/>
  <c r="AI5" i="12" s="1"/>
  <c r="BA22" i="18"/>
  <c r="AW19" i="17"/>
  <c r="AW63" i="17"/>
  <c r="AW13" i="17"/>
  <c r="BA20" i="18"/>
  <c r="BA6" i="18"/>
  <c r="AV28" i="18"/>
  <c r="AW28" i="18" s="1"/>
  <c r="AZ28" i="18" s="1"/>
  <c r="BA24" i="18"/>
  <c r="BA14" i="18"/>
  <c r="AV12" i="18"/>
  <c r="AW12" i="18" s="1"/>
  <c r="BA12" i="18"/>
  <c r="AV27" i="18"/>
  <c r="AW27" i="18" s="1"/>
  <c r="BA27" i="18"/>
  <c r="AZ25" i="18"/>
  <c r="AY25" i="18"/>
  <c r="AV32" i="18"/>
  <c r="AW32" i="18" s="1"/>
  <c r="BA32" i="18"/>
  <c r="AV19" i="18"/>
  <c r="AW19" i="18" s="1"/>
  <c r="BA19" i="18"/>
  <c r="AV17" i="18"/>
  <c r="AW17" i="18" s="1"/>
  <c r="BA17" i="18"/>
  <c r="AZ23" i="18"/>
  <c r="AY23" i="18"/>
  <c r="AV29" i="18"/>
  <c r="AW29" i="18" s="1"/>
  <c r="BA29" i="18"/>
  <c r="AV34" i="18"/>
  <c r="AW34" i="18" s="1"/>
  <c r="BA34" i="18"/>
  <c r="AV26" i="18"/>
  <c r="AW26" i="18" s="1"/>
  <c r="BA26" i="18"/>
  <c r="AV11" i="18"/>
  <c r="AW11" i="18" s="1"/>
  <c r="BA11" i="18"/>
  <c r="AV13" i="18"/>
  <c r="AW13" i="18" s="1"/>
  <c r="BA13" i="18"/>
  <c r="AV18" i="18"/>
  <c r="AW18" i="18" s="1"/>
  <c r="BA18" i="18"/>
  <c r="AV8" i="18"/>
  <c r="AW8" i="18" s="1"/>
  <c r="BA8" i="18"/>
  <c r="AZ22" i="18"/>
  <c r="AY22" i="18"/>
  <c r="AV16" i="18"/>
  <c r="AW16" i="18" s="1"/>
  <c r="BA16" i="18"/>
  <c r="AV7" i="18"/>
  <c r="AW7" i="18" s="1"/>
  <c r="BA7" i="18"/>
  <c r="AZ6" i="18"/>
  <c r="AY6" i="18"/>
  <c r="AV30" i="18"/>
  <c r="AW30" i="18" s="1"/>
  <c r="BA30" i="18"/>
  <c r="AV9" i="18"/>
  <c r="AW9" i="18" s="1"/>
  <c r="BA9" i="18"/>
  <c r="AV15" i="18"/>
  <c r="AW15" i="18" s="1"/>
  <c r="BA15" i="18"/>
  <c r="AZ24" i="18"/>
  <c r="AY24" i="18"/>
  <c r="AV21" i="18"/>
  <c r="AW21" i="18" s="1"/>
  <c r="BA21" i="18"/>
  <c r="AV33" i="18"/>
  <c r="AW33" i="18" s="1"/>
  <c r="BA33" i="18"/>
  <c r="AV10" i="18"/>
  <c r="AW10" i="18" s="1"/>
  <c r="BA10" i="18"/>
  <c r="AZ14" i="18"/>
  <c r="AY14" i="18"/>
  <c r="AZ36" i="18"/>
  <c r="AY36" i="18"/>
  <c r="AV31" i="18"/>
  <c r="AW31" i="18" s="1"/>
  <c r="BA31" i="18"/>
  <c r="AV35" i="18"/>
  <c r="AW35" i="18" s="1"/>
  <c r="BA35" i="18"/>
  <c r="AZ20" i="18"/>
  <c r="AY20" i="18"/>
  <c r="AW21" i="17"/>
  <c r="AW59" i="17"/>
  <c r="AW43" i="17"/>
  <c r="AW51" i="17"/>
  <c r="AW35" i="17"/>
  <c r="AW15" i="17"/>
  <c r="AW57" i="17"/>
  <c r="AW41" i="17"/>
  <c r="AW33" i="17"/>
  <c r="AW65" i="17"/>
  <c r="AW9" i="17"/>
  <c r="AW49" i="17"/>
  <c r="AW55" i="17"/>
  <c r="AW37" i="17"/>
  <c r="AW29" i="17"/>
  <c r="AW39" i="17"/>
  <c r="AW7" i="17"/>
  <c r="AW11" i="17"/>
  <c r="AW17" i="17"/>
  <c r="AW23" i="17"/>
  <c r="AW45" i="17"/>
  <c r="AW27" i="17"/>
  <c r="AW47" i="17"/>
  <c r="AW61" i="17"/>
  <c r="AW31" i="17"/>
  <c r="AW67" i="17"/>
  <c r="AW53" i="17"/>
  <c r="AW25" i="17"/>
  <c r="AY34" i="15"/>
  <c r="BD34" i="15" s="1"/>
  <c r="AY6" i="15"/>
  <c r="BD6" i="15" s="1"/>
  <c r="AZ8" i="15"/>
  <c r="AY8" i="15"/>
  <c r="BD8" i="15" s="1"/>
  <c r="AY21" i="15"/>
  <c r="BD21" i="15" s="1"/>
  <c r="AZ21" i="15"/>
  <c r="AY27" i="15"/>
  <c r="BD27" i="15" s="1"/>
  <c r="AZ27" i="15"/>
  <c r="AY25" i="15"/>
  <c r="BD25" i="15" s="1"/>
  <c r="AZ25" i="15"/>
  <c r="AY16" i="15"/>
  <c r="BD16" i="15" s="1"/>
  <c r="AZ16" i="15"/>
  <c r="AY14" i="15"/>
  <c r="BD14" i="15" s="1"/>
  <c r="AZ14" i="15"/>
  <c r="AY35" i="15"/>
  <c r="BD35" i="15" s="1"/>
  <c r="AZ35" i="15"/>
  <c r="AY33" i="15"/>
  <c r="BD33" i="15" s="1"/>
  <c r="AZ33" i="15"/>
  <c r="AY23" i="15"/>
  <c r="BD23" i="15" s="1"/>
  <c r="AZ23" i="15"/>
  <c r="AY24" i="15"/>
  <c r="BD24" i="15" s="1"/>
  <c r="AZ24" i="15"/>
  <c r="AY22" i="15"/>
  <c r="BD22" i="15" s="1"/>
  <c r="AZ22" i="15"/>
  <c r="AY11" i="15"/>
  <c r="BD11" i="15" s="1"/>
  <c r="AZ11" i="15"/>
  <c r="AY12" i="15"/>
  <c r="BD12" i="15" s="1"/>
  <c r="AZ12" i="15"/>
  <c r="AY9" i="15"/>
  <c r="BD9" i="15" s="1"/>
  <c r="AZ9" i="15"/>
  <c r="AY10" i="15"/>
  <c r="BD10" i="15" s="1"/>
  <c r="AZ10" i="15"/>
  <c r="AY31" i="15"/>
  <c r="BD31" i="15" s="1"/>
  <c r="AZ31" i="15"/>
  <c r="AY32" i="15"/>
  <c r="BD32" i="15" s="1"/>
  <c r="AZ32" i="15"/>
  <c r="AY29" i="15"/>
  <c r="BD29" i="15" s="1"/>
  <c r="AZ29" i="15"/>
  <c r="AY30" i="15"/>
  <c r="BD30" i="15" s="1"/>
  <c r="AZ30" i="15"/>
  <c r="AY19" i="15"/>
  <c r="BD19" i="15" s="1"/>
  <c r="AZ19" i="15"/>
  <c r="AY20" i="15"/>
  <c r="BD20" i="15" s="1"/>
  <c r="AZ20" i="15"/>
  <c r="AY17" i="15"/>
  <c r="BD17" i="15" s="1"/>
  <c r="AZ17" i="15"/>
  <c r="AY18" i="15"/>
  <c r="BD18" i="15" s="1"/>
  <c r="AZ18" i="15"/>
  <c r="AZ7" i="15"/>
  <c r="AY7" i="15"/>
  <c r="BD7" i="15" s="1"/>
  <c r="AY26" i="15"/>
  <c r="BD26" i="15" s="1"/>
  <c r="AZ26" i="15"/>
  <c r="AY28" i="15"/>
  <c r="BD28" i="15" s="1"/>
  <c r="AZ28" i="15"/>
  <c r="AY15" i="15"/>
  <c r="BD15" i="15" s="1"/>
  <c r="AZ15" i="15"/>
  <c r="AY13" i="15"/>
  <c r="BD13" i="15" s="1"/>
  <c r="AZ13" i="15"/>
  <c r="AY36" i="15"/>
  <c r="BD36" i="15" s="1"/>
  <c r="AZ36" i="15"/>
  <c r="AN22" i="12"/>
  <c r="BB22" i="12"/>
  <c r="AO22" i="12"/>
  <c r="AM23" i="12"/>
  <c r="AN24" i="12"/>
  <c r="BB24" i="12"/>
  <c r="AN26" i="12"/>
  <c r="BB26" i="12"/>
  <c r="AN28" i="12"/>
  <c r="BB28" i="12"/>
  <c r="AN30" i="12"/>
  <c r="BB30" i="12"/>
  <c r="AN32" i="12"/>
  <c r="BB32" i="12"/>
  <c r="AN34" i="12"/>
  <c r="BB34" i="12"/>
  <c r="AN36" i="12"/>
  <c r="BB36" i="12"/>
  <c r="AO21" i="12"/>
  <c r="AM20" i="12"/>
  <c r="AO19" i="12"/>
  <c r="AM18" i="12"/>
  <c r="AO17" i="12"/>
  <c r="AM16" i="12"/>
  <c r="AO15" i="12"/>
  <c r="AM14" i="12"/>
  <c r="AO13" i="12"/>
  <c r="AM12" i="12"/>
  <c r="AO11" i="12"/>
  <c r="AM10" i="12"/>
  <c r="AO9" i="12"/>
  <c r="AM8" i="12"/>
  <c r="AO7" i="12"/>
  <c r="AO24" i="12"/>
  <c r="AM25" i="12"/>
  <c r="AO26" i="12"/>
  <c r="AM27" i="12"/>
  <c r="AO28" i="12"/>
  <c r="AM29" i="12"/>
  <c r="AO30" i="12"/>
  <c r="AM31" i="12"/>
  <c r="AO32" i="12"/>
  <c r="AM33" i="12"/>
  <c r="AO34" i="12"/>
  <c r="AM35" i="12"/>
  <c r="AO36" i="12"/>
  <c r="BB21" i="12"/>
  <c r="AN21" i="12"/>
  <c r="BB19" i="12"/>
  <c r="AN19" i="12"/>
  <c r="BB17" i="12"/>
  <c r="AN17" i="12"/>
  <c r="BB15" i="12"/>
  <c r="AN15" i="12"/>
  <c r="BB13" i="12"/>
  <c r="AN13" i="12"/>
  <c r="BB11" i="12"/>
  <c r="AN11" i="12"/>
  <c r="BB9" i="12"/>
  <c r="AN9" i="12"/>
  <c r="BB7" i="12"/>
  <c r="AN7" i="12"/>
  <c r="AN23" i="12"/>
  <c r="AM24" i="12"/>
  <c r="AO25" i="12"/>
  <c r="BB29" i="12"/>
  <c r="AN31" i="12"/>
  <c r="AM32" i="12"/>
  <c r="AO33" i="12"/>
  <c r="BB20" i="12"/>
  <c r="AO16" i="12"/>
  <c r="AM15" i="12"/>
  <c r="AN14" i="12"/>
  <c r="BB12" i="12"/>
  <c r="AO8" i="12"/>
  <c r="AM7" i="12"/>
  <c r="AO23" i="12"/>
  <c r="BB27" i="12"/>
  <c r="AN29" i="12"/>
  <c r="AM30" i="12"/>
  <c r="AO31" i="12"/>
  <c r="BB35" i="12"/>
  <c r="AO18" i="12"/>
  <c r="AM17" i="12"/>
  <c r="AN16" i="12"/>
  <c r="BB14" i="12"/>
  <c r="AO10" i="12"/>
  <c r="AM9" i="12"/>
  <c r="AN8" i="12"/>
  <c r="AM22" i="12"/>
  <c r="BB25" i="12"/>
  <c r="AN27" i="12"/>
  <c r="AM28" i="12"/>
  <c r="AO29" i="12"/>
  <c r="BB33" i="12"/>
  <c r="AN35" i="12"/>
  <c r="AM36" i="12"/>
  <c r="AO20" i="12"/>
  <c r="AM19" i="12"/>
  <c r="AN18" i="12"/>
  <c r="BB16" i="12"/>
  <c r="AO12" i="12"/>
  <c r="AM11" i="12"/>
  <c r="AN10" i="12"/>
  <c r="BB8" i="12"/>
  <c r="AN33" i="12"/>
  <c r="AO35" i="12"/>
  <c r="AO14" i="12"/>
  <c r="AN12" i="12"/>
  <c r="BB23" i="12"/>
  <c r="AM26" i="12"/>
  <c r="AM21" i="12"/>
  <c r="BB18" i="12"/>
  <c r="BB31" i="12"/>
  <c r="AM34" i="12"/>
  <c r="AM13" i="12"/>
  <c r="BB10" i="12"/>
  <c r="AN25" i="12"/>
  <c r="AN20" i="12"/>
  <c r="AO27" i="12"/>
  <c r="K4" i="12"/>
  <c r="AO6" i="12" s="1"/>
  <c r="P4" i="12"/>
  <c r="P5" i="12" s="1"/>
  <c r="U4" i="12"/>
  <c r="U5" i="12" s="1"/>
  <c r="AA4" i="12"/>
  <c r="AA5" i="12" s="1"/>
  <c r="AF4" i="12"/>
  <c r="AF5" i="12" s="1"/>
  <c r="AK4" i="12"/>
  <c r="AK5" i="12" s="1"/>
  <c r="J5" i="14"/>
  <c r="AS7" i="14" s="1"/>
  <c r="AM6" i="14"/>
  <c r="BB6" i="14"/>
  <c r="AN6" i="14"/>
  <c r="G5" i="12"/>
  <c r="J4" i="12"/>
  <c r="N4" i="12"/>
  <c r="N5" i="12" s="1"/>
  <c r="R4" i="12"/>
  <c r="R5" i="12" s="1"/>
  <c r="V4" i="12"/>
  <c r="V5" i="12" s="1"/>
  <c r="Z4" i="12"/>
  <c r="Z5" i="12" s="1"/>
  <c r="AD4" i="12"/>
  <c r="AD5" i="12" s="1"/>
  <c r="AH4" i="12"/>
  <c r="AH5" i="12" s="1"/>
  <c r="AL4" i="12"/>
  <c r="AL5" i="12" s="1"/>
  <c r="D2" i="11"/>
  <c r="BD36" i="18" l="1"/>
  <c r="BD22" i="18"/>
  <c r="BD23" i="18"/>
  <c r="BD25" i="18"/>
  <c r="BD20" i="18"/>
  <c r="BD14" i="18"/>
  <c r="BD24" i="18"/>
  <c r="BD6" i="18"/>
  <c r="K5" i="12"/>
  <c r="AY28" i="18"/>
  <c r="BD28" i="18" s="1"/>
  <c r="AZ9" i="18"/>
  <c r="AY9" i="18"/>
  <c r="AZ16" i="18"/>
  <c r="AY16" i="18"/>
  <c r="AZ21" i="18"/>
  <c r="AY21" i="18"/>
  <c r="AZ30" i="18"/>
  <c r="AY30" i="18"/>
  <c r="AZ11" i="18"/>
  <c r="AY11" i="18"/>
  <c r="AZ32" i="18"/>
  <c r="AY32" i="18"/>
  <c r="AZ31" i="18"/>
  <c r="AY31" i="18"/>
  <c r="AZ29" i="18"/>
  <c r="AY29" i="18"/>
  <c r="AZ8" i="18"/>
  <c r="AY8" i="18"/>
  <c r="AZ26" i="18"/>
  <c r="AY26" i="18"/>
  <c r="AZ19" i="18"/>
  <c r="AY19" i="18"/>
  <c r="AZ33" i="18"/>
  <c r="AY33" i="18"/>
  <c r="AZ13" i="18"/>
  <c r="AY13" i="18"/>
  <c r="AZ35" i="18"/>
  <c r="AY35" i="18"/>
  <c r="AZ10" i="18"/>
  <c r="AY10" i="18"/>
  <c r="AZ15" i="18"/>
  <c r="AY15" i="18"/>
  <c r="AZ7" i="18"/>
  <c r="AY7" i="18"/>
  <c r="AZ18" i="18"/>
  <c r="AY18" i="18"/>
  <c r="AZ34" i="18"/>
  <c r="AY34" i="18"/>
  <c r="AZ17" i="18"/>
  <c r="AY17" i="18"/>
  <c r="AZ27" i="18"/>
  <c r="AY27" i="18"/>
  <c r="AZ12" i="18"/>
  <c r="AY12" i="18"/>
  <c r="AS18" i="14"/>
  <c r="BA18" i="14" s="1"/>
  <c r="AS35" i="14"/>
  <c r="AV35" i="14" s="1"/>
  <c r="AW35" i="14" s="1"/>
  <c r="AS36" i="14"/>
  <c r="AV36" i="14" s="1"/>
  <c r="AW36" i="14" s="1"/>
  <c r="AS20" i="14"/>
  <c r="AS15" i="14"/>
  <c r="BA15" i="14" s="1"/>
  <c r="AS32" i="14"/>
  <c r="AV32" i="14" s="1"/>
  <c r="AW32" i="14" s="1"/>
  <c r="AS34" i="14"/>
  <c r="BA34" i="14" s="1"/>
  <c r="AS33" i="14"/>
  <c r="AV33" i="14" s="1"/>
  <c r="AW33" i="14" s="1"/>
  <c r="AS17" i="14"/>
  <c r="BA17" i="14" s="1"/>
  <c r="AS28" i="14"/>
  <c r="AV28" i="14" s="1"/>
  <c r="AW28" i="14" s="1"/>
  <c r="BA7" i="14"/>
  <c r="AV7" i="14"/>
  <c r="AW7" i="14" s="1"/>
  <c r="AS19" i="14"/>
  <c r="AS23" i="14"/>
  <c r="AN22" i="11"/>
  <c r="BB22" i="11"/>
  <c r="AN24" i="11"/>
  <c r="BB24" i="11"/>
  <c r="AN26" i="11"/>
  <c r="BB26" i="11"/>
  <c r="AN28" i="11"/>
  <c r="BB28" i="11"/>
  <c r="AN30" i="11"/>
  <c r="BB30" i="11"/>
  <c r="AN32" i="11"/>
  <c r="BB32" i="11"/>
  <c r="AO22" i="11"/>
  <c r="AM23" i="11"/>
  <c r="AO24" i="11"/>
  <c r="AM25" i="11"/>
  <c r="AO26" i="11"/>
  <c r="AM27" i="11"/>
  <c r="AO28" i="11"/>
  <c r="AM29" i="11"/>
  <c r="AO30" i="11"/>
  <c r="AM31" i="11"/>
  <c r="AO32" i="11"/>
  <c r="AM33" i="11"/>
  <c r="AN23" i="11"/>
  <c r="AM24" i="11"/>
  <c r="AO25" i="11"/>
  <c r="BB29" i="11"/>
  <c r="AN31" i="11"/>
  <c r="AM32" i="11"/>
  <c r="AO33" i="11"/>
  <c r="AM34" i="11"/>
  <c r="AO35" i="11"/>
  <c r="AM36" i="11"/>
  <c r="BB20" i="11"/>
  <c r="AN20" i="11"/>
  <c r="BB18" i="11"/>
  <c r="AN18" i="11"/>
  <c r="BB16" i="11"/>
  <c r="AN16" i="11"/>
  <c r="BB14" i="11"/>
  <c r="AN14" i="11"/>
  <c r="BB12" i="11"/>
  <c r="AN12" i="11"/>
  <c r="BB10" i="11"/>
  <c r="AN10" i="11"/>
  <c r="BB8" i="11"/>
  <c r="AN8" i="11"/>
  <c r="AM22" i="11"/>
  <c r="AO23" i="11"/>
  <c r="BB27" i="11"/>
  <c r="AN29" i="11"/>
  <c r="AM30" i="11"/>
  <c r="AO31" i="11"/>
  <c r="AN34" i="11"/>
  <c r="BB34" i="11"/>
  <c r="AN36" i="11"/>
  <c r="BB36" i="11"/>
  <c r="AO21" i="11"/>
  <c r="AM20" i="11"/>
  <c r="AO19" i="11"/>
  <c r="AM18" i="11"/>
  <c r="AO17" i="11"/>
  <c r="AM16" i="11"/>
  <c r="AO15" i="11"/>
  <c r="AM14" i="11"/>
  <c r="AO13" i="11"/>
  <c r="AM12" i="11"/>
  <c r="AO11" i="11"/>
  <c r="AM10" i="11"/>
  <c r="AO9" i="11"/>
  <c r="AM8" i="11"/>
  <c r="AO7" i="11"/>
  <c r="BB25" i="11"/>
  <c r="AN27" i="11"/>
  <c r="AM28" i="11"/>
  <c r="AO29" i="11"/>
  <c r="AO34" i="11"/>
  <c r="AM35" i="11"/>
  <c r="AO36" i="11"/>
  <c r="BB21" i="11"/>
  <c r="AN21" i="11"/>
  <c r="BB19" i="11"/>
  <c r="AN19" i="11"/>
  <c r="BB17" i="11"/>
  <c r="AN17" i="11"/>
  <c r="BB15" i="11"/>
  <c r="AN15" i="11"/>
  <c r="BB13" i="11"/>
  <c r="AN13" i="11"/>
  <c r="BB11" i="11"/>
  <c r="AN11" i="11"/>
  <c r="BB9" i="11"/>
  <c r="AN9" i="11"/>
  <c r="AN25" i="11"/>
  <c r="AO27" i="11"/>
  <c r="BB35" i="11"/>
  <c r="AM21" i="11"/>
  <c r="AM19" i="11"/>
  <c r="AM17" i="11"/>
  <c r="AM15" i="11"/>
  <c r="AM13" i="11"/>
  <c r="AM11" i="11"/>
  <c r="AM9" i="11"/>
  <c r="BB7" i="11"/>
  <c r="AN33" i="11"/>
  <c r="BB23" i="11"/>
  <c r="AM26" i="11"/>
  <c r="AN35" i="11"/>
  <c r="AO20" i="11"/>
  <c r="AO18" i="11"/>
  <c r="AO16" i="11"/>
  <c r="AO14" i="11"/>
  <c r="AO12" i="11"/>
  <c r="AO10" i="11"/>
  <c r="AN7" i="11"/>
  <c r="BB33" i="11"/>
  <c r="AM7" i="11"/>
  <c r="BB31" i="11"/>
  <c r="AO8" i="11"/>
  <c r="AN6" i="12"/>
  <c r="AS21" i="14"/>
  <c r="AS9" i="14"/>
  <c r="AS26" i="14"/>
  <c r="AS29" i="14"/>
  <c r="AS16" i="14"/>
  <c r="AS8" i="14"/>
  <c r="AS11" i="14"/>
  <c r="AS13" i="14"/>
  <c r="AS24" i="14"/>
  <c r="AS10" i="14"/>
  <c r="AS25" i="14"/>
  <c r="AS12" i="14"/>
  <c r="AS30" i="14"/>
  <c r="AS31" i="14"/>
  <c r="AS22" i="14"/>
  <c r="AS14" i="14"/>
  <c r="AS27" i="14"/>
  <c r="AS6" i="14"/>
  <c r="J5" i="12"/>
  <c r="BB6" i="12"/>
  <c r="AM6" i="12"/>
  <c r="R4" i="11"/>
  <c r="R5" i="11" s="1"/>
  <c r="AE4" i="11"/>
  <c r="AE5" i="11" s="1"/>
  <c r="M4" i="11"/>
  <c r="M5" i="11" s="1"/>
  <c r="S4" i="11"/>
  <c r="S5" i="11" s="1"/>
  <c r="Z4" i="11"/>
  <c r="Z5" i="11" s="1"/>
  <c r="AH4" i="11"/>
  <c r="AH5" i="11" s="1"/>
  <c r="J4" i="11"/>
  <c r="J5" i="11" s="1"/>
  <c r="Y4" i="11"/>
  <c r="Y5" i="11" s="1"/>
  <c r="AX6" i="11"/>
  <c r="G4" i="11"/>
  <c r="G5" i="11" s="1"/>
  <c r="N4" i="11"/>
  <c r="N5" i="11" s="1"/>
  <c r="U4" i="11"/>
  <c r="U5" i="11" s="1"/>
  <c r="AC4" i="11"/>
  <c r="AC5" i="11" s="1"/>
  <c r="AI4" i="11"/>
  <c r="AI5" i="11" s="1"/>
  <c r="I4" i="11"/>
  <c r="I5" i="11" s="1"/>
  <c r="O4" i="11"/>
  <c r="O5" i="11" s="1"/>
  <c r="W4" i="11"/>
  <c r="W5" i="11" s="1"/>
  <c r="AD4" i="11"/>
  <c r="AD5" i="11" s="1"/>
  <c r="AK4" i="11"/>
  <c r="AK5" i="11" s="1"/>
  <c r="AL4" i="11"/>
  <c r="AL5" i="11" s="1"/>
  <c r="AJ4" i="11"/>
  <c r="AJ5" i="11" s="1"/>
  <c r="AF4" i="11"/>
  <c r="AF5" i="11" s="1"/>
  <c r="AB4" i="11"/>
  <c r="AB5" i="11" s="1"/>
  <c r="X4" i="11"/>
  <c r="X5" i="11" s="1"/>
  <c r="T4" i="11"/>
  <c r="T5" i="11" s="1"/>
  <c r="P4" i="11"/>
  <c r="P5" i="11" s="1"/>
  <c r="L4" i="11"/>
  <c r="L5" i="11" s="1"/>
  <c r="H4" i="11"/>
  <c r="H5" i="11" s="1"/>
  <c r="K4" i="11"/>
  <c r="Q4" i="11"/>
  <c r="Q5" i="11" s="1"/>
  <c r="V4" i="11"/>
  <c r="V5" i="11" s="1"/>
  <c r="AA4" i="11"/>
  <c r="AA5" i="11" s="1"/>
  <c r="AG4" i="11"/>
  <c r="AG5" i="11" s="1"/>
  <c r="AT9" i="3"/>
  <c r="AU9" i="3"/>
  <c r="AV9" i="3"/>
  <c r="AT11" i="3"/>
  <c r="AU11" i="3"/>
  <c r="AV11" i="3"/>
  <c r="AT13" i="3"/>
  <c r="AU13" i="3"/>
  <c r="AV13" i="3"/>
  <c r="AT15" i="3"/>
  <c r="AU15" i="3"/>
  <c r="AV15" i="3"/>
  <c r="AT17" i="3"/>
  <c r="AU17" i="3"/>
  <c r="AV17" i="3"/>
  <c r="AT19" i="3"/>
  <c r="AU19" i="3"/>
  <c r="AV19" i="3"/>
  <c r="AT21" i="3"/>
  <c r="AU21" i="3"/>
  <c r="AV21" i="3"/>
  <c r="AV7" i="3"/>
  <c r="AU7" i="3"/>
  <c r="AT7" i="3"/>
  <c r="BD27" i="18" l="1"/>
  <c r="BD7" i="18"/>
  <c r="BD13" i="18"/>
  <c r="BD8" i="18"/>
  <c r="BD11" i="18"/>
  <c r="BD9" i="18"/>
  <c r="BD12" i="18"/>
  <c r="BD18" i="18"/>
  <c r="BD35" i="18"/>
  <c r="BD26" i="18"/>
  <c r="BD32" i="18"/>
  <c r="BD16" i="18"/>
  <c r="BD17" i="18"/>
  <c r="BD15" i="18"/>
  <c r="BD33" i="18"/>
  <c r="BD29" i="18"/>
  <c r="BD30" i="18"/>
  <c r="BD34" i="18"/>
  <c r="BD10" i="18"/>
  <c r="BD19" i="18"/>
  <c r="BD31" i="18"/>
  <c r="BD21" i="18"/>
  <c r="BA36" i="14"/>
  <c r="AV34" i="14"/>
  <c r="AW34" i="14" s="1"/>
  <c r="AY34" i="14" s="1"/>
  <c r="BA35" i="14"/>
  <c r="AV17" i="14"/>
  <c r="AW17" i="14" s="1"/>
  <c r="AY17" i="14" s="1"/>
  <c r="AV18" i="14"/>
  <c r="AW18" i="14" s="1"/>
  <c r="AY18" i="14" s="1"/>
  <c r="AV15" i="14"/>
  <c r="AW15" i="14" s="1"/>
  <c r="AY15" i="14" s="1"/>
  <c r="BA33" i="14"/>
  <c r="BA28" i="14"/>
  <c r="BA32" i="14"/>
  <c r="BA20" i="14"/>
  <c r="AV20" i="14"/>
  <c r="AW20" i="14" s="1"/>
  <c r="AS22" i="12"/>
  <c r="AS25" i="12"/>
  <c r="AS33" i="12"/>
  <c r="AS20" i="12"/>
  <c r="AS12" i="12"/>
  <c r="AS26" i="12"/>
  <c r="AS9" i="12"/>
  <c r="AS24" i="12"/>
  <c r="AS11" i="12"/>
  <c r="AS23" i="12"/>
  <c r="AS31" i="12"/>
  <c r="AS14" i="12"/>
  <c r="AS34" i="12"/>
  <c r="AS32" i="12"/>
  <c r="AS30" i="12"/>
  <c r="AS21" i="12"/>
  <c r="AS28" i="12"/>
  <c r="AS7" i="12"/>
  <c r="AS27" i="12"/>
  <c r="AS18" i="12"/>
  <c r="AS15" i="12"/>
  <c r="AS29" i="12"/>
  <c r="AS16" i="12"/>
  <c r="AS8" i="12"/>
  <c r="AS13" i="12"/>
  <c r="AS36" i="12"/>
  <c r="AS35" i="12"/>
  <c r="AS10" i="12"/>
  <c r="AS17" i="12"/>
  <c r="AS19" i="12"/>
  <c r="AV24" i="14"/>
  <c r="AW24" i="14" s="1"/>
  <c r="BA24" i="14"/>
  <c r="AV23" i="14"/>
  <c r="AW23" i="14" s="1"/>
  <c r="BA23" i="14"/>
  <c r="AY33" i="14"/>
  <c r="AZ33" i="14"/>
  <c r="BA12" i="14"/>
  <c r="AV12" i="14"/>
  <c r="AW12" i="14" s="1"/>
  <c r="BA13" i="14"/>
  <c r="AV13" i="14"/>
  <c r="AW13" i="14" s="1"/>
  <c r="AV29" i="14"/>
  <c r="AW29" i="14" s="1"/>
  <c r="BA29" i="14"/>
  <c r="AZ28" i="14"/>
  <c r="AY28" i="14"/>
  <c r="AZ35" i="14"/>
  <c r="AY35" i="14"/>
  <c r="AV30" i="14"/>
  <c r="AW30" i="14" s="1"/>
  <c r="BA30" i="14"/>
  <c r="BA21" i="14"/>
  <c r="AV21" i="14"/>
  <c r="AW21" i="14" s="1"/>
  <c r="AV27" i="14"/>
  <c r="AW27" i="14" s="1"/>
  <c r="BA27" i="14"/>
  <c r="AV22" i="14"/>
  <c r="AW22" i="14" s="1"/>
  <c r="BA22" i="14"/>
  <c r="AV25" i="14"/>
  <c r="AW25" i="14" s="1"/>
  <c r="BA25" i="14"/>
  <c r="BA11" i="14"/>
  <c r="AV11" i="14"/>
  <c r="AW11" i="14" s="1"/>
  <c r="AV26" i="14"/>
  <c r="AW26" i="14" s="1"/>
  <c r="BA26" i="14"/>
  <c r="BA19" i="14"/>
  <c r="AV19" i="14"/>
  <c r="AW19" i="14" s="1"/>
  <c r="AZ7" i="14"/>
  <c r="AY7" i="14"/>
  <c r="BA16" i="14"/>
  <c r="AV16" i="14"/>
  <c r="AW16" i="14" s="1"/>
  <c r="BA14" i="14"/>
  <c r="AV14" i="14"/>
  <c r="AW14" i="14" s="1"/>
  <c r="AZ32" i="14"/>
  <c r="AY32" i="14"/>
  <c r="AV31" i="14"/>
  <c r="AW31" i="14" s="1"/>
  <c r="BA31" i="14"/>
  <c r="BA10" i="14"/>
  <c r="AV10" i="14"/>
  <c r="AW10" i="14" s="1"/>
  <c r="BA8" i="14"/>
  <c r="AV8" i="14"/>
  <c r="AW8" i="14" s="1"/>
  <c r="BA9" i="14"/>
  <c r="AV9" i="14"/>
  <c r="AW9" i="14" s="1"/>
  <c r="AZ36" i="14"/>
  <c r="AY36" i="14"/>
  <c r="BA6" i="14"/>
  <c r="AV6" i="14"/>
  <c r="AW6" i="14" s="1"/>
  <c r="AS6" i="12"/>
  <c r="AM6" i="11"/>
  <c r="AN6" i="11"/>
  <c r="AO6" i="11"/>
  <c r="K5" i="11"/>
  <c r="AS23" i="11" s="1"/>
  <c r="BB6" i="11"/>
  <c r="D2" i="10"/>
  <c r="D2" i="9"/>
  <c r="D2" i="8"/>
  <c r="AZ34" i="14" l="1"/>
  <c r="AX18" i="9"/>
  <c r="AX25" i="9"/>
  <c r="AX26" i="9"/>
  <c r="AX27" i="9"/>
  <c r="AX28" i="9"/>
  <c r="AX36" i="9"/>
  <c r="AX14" i="9"/>
  <c r="AX19" i="9"/>
  <c r="AX11" i="9"/>
  <c r="AX24" i="9"/>
  <c r="AX33" i="9"/>
  <c r="AX16" i="9"/>
  <c r="AX35" i="9"/>
  <c r="AX29" i="9"/>
  <c r="AX21" i="9"/>
  <c r="AX13" i="9"/>
  <c r="AX31" i="9"/>
  <c r="AX10" i="9"/>
  <c r="AX17" i="9"/>
  <c r="AX34" i="9"/>
  <c r="AX15" i="9"/>
  <c r="AX22" i="9"/>
  <c r="AX30" i="9"/>
  <c r="AX20" i="9"/>
  <c r="AX12" i="9"/>
  <c r="AX23" i="9"/>
  <c r="AX32" i="9"/>
  <c r="AX9" i="9"/>
  <c r="AX8" i="9"/>
  <c r="AX7" i="9"/>
  <c r="AX6" i="9"/>
  <c r="AX24" i="8"/>
  <c r="AX32" i="8"/>
  <c r="AX18" i="8"/>
  <c r="AX10" i="8"/>
  <c r="AX25" i="8"/>
  <c r="AX33" i="8"/>
  <c r="AX17" i="8"/>
  <c r="AX9" i="8"/>
  <c r="AX26" i="8"/>
  <c r="AX34" i="8"/>
  <c r="AX16" i="8"/>
  <c r="AX8" i="8"/>
  <c r="AX27" i="8"/>
  <c r="AX35" i="8"/>
  <c r="AX15" i="8"/>
  <c r="AX7" i="8"/>
  <c r="AX28" i="8"/>
  <c r="AX36" i="8"/>
  <c r="AX14" i="8"/>
  <c r="AX29" i="8"/>
  <c r="AX21" i="8"/>
  <c r="AX13" i="8"/>
  <c r="AX22" i="8"/>
  <c r="AX30" i="8"/>
  <c r="AX20" i="8"/>
  <c r="AX12" i="8"/>
  <c r="AX23" i="8"/>
  <c r="AX31" i="8"/>
  <c r="AX19" i="8"/>
  <c r="AX11" i="8"/>
  <c r="AZ15" i="14"/>
  <c r="BD15" i="14" s="1"/>
  <c r="AZ17" i="14"/>
  <c r="BD17" i="14" s="1"/>
  <c r="AZ18" i="14"/>
  <c r="BD34" i="14"/>
  <c r="AS12" i="11"/>
  <c r="AV12" i="11" s="1"/>
  <c r="AW12" i="11" s="1"/>
  <c r="BD35" i="14"/>
  <c r="AS25" i="11"/>
  <c r="AV25" i="11" s="1"/>
  <c r="AW25" i="11" s="1"/>
  <c r="AS27" i="11"/>
  <c r="AV27" i="11" s="1"/>
  <c r="AW27" i="11" s="1"/>
  <c r="AS17" i="11"/>
  <c r="BA17" i="11" s="1"/>
  <c r="AS22" i="11"/>
  <c r="BA22" i="11" s="1"/>
  <c r="AS18" i="11"/>
  <c r="BA18" i="11" s="1"/>
  <c r="AS24" i="11"/>
  <c r="AV24" i="11" s="1"/>
  <c r="AW24" i="11" s="1"/>
  <c r="AY20" i="14"/>
  <c r="AZ20" i="14"/>
  <c r="AS31" i="11"/>
  <c r="BA31" i="11" s="1"/>
  <c r="AS14" i="11"/>
  <c r="AV14" i="11" s="1"/>
  <c r="AW14" i="11" s="1"/>
  <c r="AS15" i="11"/>
  <c r="AV15" i="11" s="1"/>
  <c r="AW15" i="11" s="1"/>
  <c r="AS30" i="11"/>
  <c r="BA30" i="11" s="1"/>
  <c r="AS36" i="11"/>
  <c r="AV36" i="11" s="1"/>
  <c r="AW36" i="11" s="1"/>
  <c r="AS8" i="11"/>
  <c r="BA8" i="11" s="1"/>
  <c r="BD36" i="14"/>
  <c r="AS20" i="11"/>
  <c r="BA20" i="11" s="1"/>
  <c r="BD7" i="14"/>
  <c r="AS29" i="11"/>
  <c r="BA29" i="11" s="1"/>
  <c r="AS10" i="11"/>
  <c r="BA10" i="11" s="1"/>
  <c r="AS26" i="11"/>
  <c r="AV26" i="11" s="1"/>
  <c r="AW26" i="11" s="1"/>
  <c r="BD28" i="14"/>
  <c r="AV23" i="11"/>
  <c r="AW23" i="11" s="1"/>
  <c r="BA23" i="11"/>
  <c r="AV35" i="12"/>
  <c r="AW35" i="12" s="1"/>
  <c r="BA35" i="12"/>
  <c r="AV31" i="12"/>
  <c r="AW31" i="12" s="1"/>
  <c r="BA31" i="12"/>
  <c r="AY30" i="14"/>
  <c r="AZ30" i="14"/>
  <c r="AV36" i="12"/>
  <c r="AW36" i="12" s="1"/>
  <c r="BA36" i="12"/>
  <c r="AV29" i="12"/>
  <c r="AW29" i="12" s="1"/>
  <c r="BA29" i="12"/>
  <c r="BA7" i="12"/>
  <c r="AV7" i="12"/>
  <c r="AW7" i="12" s="1"/>
  <c r="AV32" i="12"/>
  <c r="AW32" i="12" s="1"/>
  <c r="BA32" i="12"/>
  <c r="AV23" i="12"/>
  <c r="AW23" i="12" s="1"/>
  <c r="BA23" i="12"/>
  <c r="AV26" i="12"/>
  <c r="AW26" i="12" s="1"/>
  <c r="BA26" i="12"/>
  <c r="AV25" i="12"/>
  <c r="AW25" i="12" s="1"/>
  <c r="BA25" i="12"/>
  <c r="AH4" i="10"/>
  <c r="AH5" i="10" s="1"/>
  <c r="AM22" i="10"/>
  <c r="AQ22" i="10"/>
  <c r="AO23" i="10"/>
  <c r="AM24" i="10"/>
  <c r="AQ24" i="10"/>
  <c r="BB24" i="10"/>
  <c r="AP25" i="10"/>
  <c r="AO26" i="10"/>
  <c r="AM27" i="10"/>
  <c r="AQ27" i="10"/>
  <c r="AO28" i="10"/>
  <c r="AM29" i="10"/>
  <c r="AQ29" i="10"/>
  <c r="BB29" i="10"/>
  <c r="AP30" i="10"/>
  <c r="AN31" i="10"/>
  <c r="AR31" i="10"/>
  <c r="BB31" i="10"/>
  <c r="AP32" i="10"/>
  <c r="AN33" i="10"/>
  <c r="AR33" i="10"/>
  <c r="AM34" i="10"/>
  <c r="AQ34" i="10"/>
  <c r="AO35" i="10"/>
  <c r="AM36" i="10"/>
  <c r="AQ36" i="10"/>
  <c r="AO21" i="10"/>
  <c r="AP20" i="10"/>
  <c r="BB19" i="10"/>
  <c r="AR19" i="10"/>
  <c r="AN19" i="10"/>
  <c r="AP18" i="10"/>
  <c r="BB17" i="10"/>
  <c r="AQ17" i="10"/>
  <c r="AM17" i="10"/>
  <c r="AR16" i="10"/>
  <c r="AN16" i="10"/>
  <c r="AP15" i="10"/>
  <c r="BB14" i="10"/>
  <c r="AR14" i="10"/>
  <c r="AN14" i="10"/>
  <c r="AO13" i="10"/>
  <c r="AP12" i="10"/>
  <c r="BB11" i="10"/>
  <c r="AR11" i="10"/>
  <c r="AN11" i="10"/>
  <c r="AP10" i="10"/>
  <c r="BB9" i="10"/>
  <c r="AQ9" i="10"/>
  <c r="AM9" i="10"/>
  <c r="AR8" i="10"/>
  <c r="AN8" i="10"/>
  <c r="AP7" i="10"/>
  <c r="AN22" i="10"/>
  <c r="AR22" i="10"/>
  <c r="BB22" i="10"/>
  <c r="AP23" i="10"/>
  <c r="AN24" i="10"/>
  <c r="AR24" i="10"/>
  <c r="AM25" i="10"/>
  <c r="AQ25" i="10"/>
  <c r="BB25" i="10"/>
  <c r="AP26" i="10"/>
  <c r="AN27" i="10"/>
  <c r="AR27" i="10"/>
  <c r="BB27" i="10"/>
  <c r="AP28" i="10"/>
  <c r="AN29" i="10"/>
  <c r="AR29" i="10"/>
  <c r="AM30" i="10"/>
  <c r="AQ30" i="10"/>
  <c r="AO31" i="10"/>
  <c r="AM32" i="10"/>
  <c r="AQ32" i="10"/>
  <c r="AO33" i="10"/>
  <c r="AN34" i="10"/>
  <c r="AR34" i="10"/>
  <c r="BB34" i="10"/>
  <c r="AP35" i="10"/>
  <c r="AN36" i="10"/>
  <c r="AR36" i="10"/>
  <c r="BB36" i="10"/>
  <c r="AR21" i="10"/>
  <c r="AN21" i="10"/>
  <c r="AO20" i="10"/>
  <c r="AQ19" i="10"/>
  <c r="AM19" i="10"/>
  <c r="AO18" i="10"/>
  <c r="AP17" i="10"/>
  <c r="BB16" i="10"/>
  <c r="AQ16" i="10"/>
  <c r="AM16" i="10"/>
  <c r="AO15" i="10"/>
  <c r="AQ14" i="10"/>
  <c r="AM14" i="10"/>
  <c r="AR13" i="10"/>
  <c r="AN13" i="10"/>
  <c r="AO12" i="10"/>
  <c r="AQ11" i="10"/>
  <c r="AM11" i="10"/>
  <c r="AO10" i="10"/>
  <c r="AP9" i="10"/>
  <c r="BB8" i="10"/>
  <c r="AQ8" i="10"/>
  <c r="AM8" i="10"/>
  <c r="AO7" i="10"/>
  <c r="AO22" i="10"/>
  <c r="AR23" i="10"/>
  <c r="AO24" i="10"/>
  <c r="AN25" i="10"/>
  <c r="AR26" i="10"/>
  <c r="AP27" i="10"/>
  <c r="AN28" i="10"/>
  <c r="AR30" i="10"/>
  <c r="AM31" i="10"/>
  <c r="AP33" i="10"/>
  <c r="AO34" i="10"/>
  <c r="AR35" i="10"/>
  <c r="AO36" i="10"/>
  <c r="BB21" i="10"/>
  <c r="AM21" i="10"/>
  <c r="AQ20" i="10"/>
  <c r="AN18" i="10"/>
  <c r="AR17" i="10"/>
  <c r="AN15" i="10"/>
  <c r="AP14" i="10"/>
  <c r="AQ13" i="10"/>
  <c r="AM12" i="10"/>
  <c r="AO11" i="10"/>
  <c r="AR10" i="10"/>
  <c r="AN9" i="10"/>
  <c r="AO8" i="10"/>
  <c r="AR7" i="10"/>
  <c r="AP22" i="10"/>
  <c r="AM23" i="10"/>
  <c r="AP24" i="10"/>
  <c r="AO25" i="10"/>
  <c r="AM26" i="10"/>
  <c r="AQ28" i="10"/>
  <c r="BB28" i="10"/>
  <c r="AP31" i="10"/>
  <c r="AN32" i="10"/>
  <c r="AQ33" i="10"/>
  <c r="AP34" i="10"/>
  <c r="AM35" i="10"/>
  <c r="AP36" i="10"/>
  <c r="BB20" i="10"/>
  <c r="AN20" i="10"/>
  <c r="AP19" i="10"/>
  <c r="AM18" i="10"/>
  <c r="AO17" i="10"/>
  <c r="AP16" i="10"/>
  <c r="AM15" i="10"/>
  <c r="AO14" i="10"/>
  <c r="AP13" i="10"/>
  <c r="AR12" i="10"/>
  <c r="BB10" i="10"/>
  <c r="AQ10" i="10"/>
  <c r="BB7" i="10"/>
  <c r="AQ7" i="10"/>
  <c r="AN23" i="10"/>
  <c r="AR25" i="10"/>
  <c r="AN26" i="10"/>
  <c r="BB26" i="10"/>
  <c r="AR28" i="10"/>
  <c r="AO29" i="10"/>
  <c r="AN30" i="10"/>
  <c r="AQ31" i="10"/>
  <c r="AO32" i="10"/>
  <c r="BB32" i="10"/>
  <c r="AN35" i="10"/>
  <c r="AQ21" i="10"/>
  <c r="AM20" i="10"/>
  <c r="AO19" i="10"/>
  <c r="AR18" i="10"/>
  <c r="AN17" i="10"/>
  <c r="AO16" i="10"/>
  <c r="AR15" i="10"/>
  <c r="BB13" i="10"/>
  <c r="AM13" i="10"/>
  <c r="AQ12" i="10"/>
  <c r="AN10" i="10"/>
  <c r="AR9" i="10"/>
  <c r="AN7" i="10"/>
  <c r="AQ35" i="10"/>
  <c r="AQ23" i="10"/>
  <c r="AO27" i="10"/>
  <c r="AP29" i="10"/>
  <c r="BB30" i="10"/>
  <c r="AM33" i="10"/>
  <c r="AQ18" i="10"/>
  <c r="BB15" i="10"/>
  <c r="AM10" i="10"/>
  <c r="AP8" i="10"/>
  <c r="BB23" i="10"/>
  <c r="AQ26" i="10"/>
  <c r="AM28" i="10"/>
  <c r="AO30" i="10"/>
  <c r="AR32" i="10"/>
  <c r="BB33" i="10"/>
  <c r="AP21" i="10"/>
  <c r="BB18" i="10"/>
  <c r="AQ15" i="10"/>
  <c r="BB12" i="10"/>
  <c r="AP11" i="10"/>
  <c r="AO9" i="10"/>
  <c r="AM7" i="10"/>
  <c r="AR20" i="10"/>
  <c r="AN12" i="10"/>
  <c r="BB35" i="10"/>
  <c r="AZ11" i="14"/>
  <c r="AY11" i="14"/>
  <c r="AY29" i="14"/>
  <c r="AZ29" i="14"/>
  <c r="BA16" i="12"/>
  <c r="AV16" i="12"/>
  <c r="AW16" i="12" s="1"/>
  <c r="AV30" i="12"/>
  <c r="AW30" i="12" s="1"/>
  <c r="BA30" i="12"/>
  <c r="AV33" i="12"/>
  <c r="AW33" i="12" s="1"/>
  <c r="BA33" i="12"/>
  <c r="AM22" i="8"/>
  <c r="AO23" i="8"/>
  <c r="AM24" i="8"/>
  <c r="AO25" i="8"/>
  <c r="AM26" i="8"/>
  <c r="AO27" i="8"/>
  <c r="AM28" i="8"/>
  <c r="AO29" i="8"/>
  <c r="AM30" i="8"/>
  <c r="AO31" i="8"/>
  <c r="AM32" i="8"/>
  <c r="AO33" i="8"/>
  <c r="AM34" i="8"/>
  <c r="AO35" i="8"/>
  <c r="AM36" i="8"/>
  <c r="BB20" i="8"/>
  <c r="AN22" i="8"/>
  <c r="BB22" i="8"/>
  <c r="AN24" i="8"/>
  <c r="BB24" i="8"/>
  <c r="AN26" i="8"/>
  <c r="BB26" i="8"/>
  <c r="AN28" i="8"/>
  <c r="BB28" i="8"/>
  <c r="AN30" i="8"/>
  <c r="BB30" i="8"/>
  <c r="AN32" i="8"/>
  <c r="BB32" i="8"/>
  <c r="AN34" i="8"/>
  <c r="BB34" i="8"/>
  <c r="AN36" i="8"/>
  <c r="BB36" i="8"/>
  <c r="AO21" i="8"/>
  <c r="AM20" i="8"/>
  <c r="AO19" i="8"/>
  <c r="AM18" i="8"/>
  <c r="AO17" i="8"/>
  <c r="AM16" i="8"/>
  <c r="AO15" i="8"/>
  <c r="AM14" i="8"/>
  <c r="AO13" i="8"/>
  <c r="AM12" i="8"/>
  <c r="AO11" i="8"/>
  <c r="AM10" i="8"/>
  <c r="AO9" i="8"/>
  <c r="AM8" i="8"/>
  <c r="AO7" i="8"/>
  <c r="AO22" i="8"/>
  <c r="AN23" i="8"/>
  <c r="BB27" i="8"/>
  <c r="AM29" i="8"/>
  <c r="AO30" i="8"/>
  <c r="AN31" i="8"/>
  <c r="BB35" i="8"/>
  <c r="BB21" i="8"/>
  <c r="BB19" i="8"/>
  <c r="AM19" i="8"/>
  <c r="AO18" i="8"/>
  <c r="BB15" i="8"/>
  <c r="AM15" i="8"/>
  <c r="AO14" i="8"/>
  <c r="BB11" i="8"/>
  <c r="AM11" i="8"/>
  <c r="AO10" i="8"/>
  <c r="BB7" i="8"/>
  <c r="AM7" i="8"/>
  <c r="BB25" i="8"/>
  <c r="AM27" i="8"/>
  <c r="AO28" i="8"/>
  <c r="AN29" i="8"/>
  <c r="BB33" i="8"/>
  <c r="AM35" i="8"/>
  <c r="AO36" i="8"/>
  <c r="BB18" i="8"/>
  <c r="AN18" i="8"/>
  <c r="AN17" i="8"/>
  <c r="BB14" i="8"/>
  <c r="AN14" i="8"/>
  <c r="AN13" i="8"/>
  <c r="BB10" i="8"/>
  <c r="AN10" i="8"/>
  <c r="AN9" i="8"/>
  <c r="BB23" i="8"/>
  <c r="AM25" i="8"/>
  <c r="AO26" i="8"/>
  <c r="AN27" i="8"/>
  <c r="BB31" i="8"/>
  <c r="AM33" i="8"/>
  <c r="AO34" i="8"/>
  <c r="AN35" i="8"/>
  <c r="AN21" i="8"/>
  <c r="AO20" i="8"/>
  <c r="BB17" i="8"/>
  <c r="AM17" i="8"/>
  <c r="AO16" i="8"/>
  <c r="BB13" i="8"/>
  <c r="AM13" i="8"/>
  <c r="AO12" i="8"/>
  <c r="BB9" i="8"/>
  <c r="AM9" i="8"/>
  <c r="AO8" i="8"/>
  <c r="AM31" i="8"/>
  <c r="AN33" i="8"/>
  <c r="AN25" i="8"/>
  <c r="BB16" i="8"/>
  <c r="AN11" i="8"/>
  <c r="AO24" i="8"/>
  <c r="AN20" i="8"/>
  <c r="AN16" i="8"/>
  <c r="AN12" i="8"/>
  <c r="AN8" i="8"/>
  <c r="AM23" i="8"/>
  <c r="AM21" i="8"/>
  <c r="AN19" i="8"/>
  <c r="AN15" i="8"/>
  <c r="BB12" i="8"/>
  <c r="BB8" i="8"/>
  <c r="AN7" i="8"/>
  <c r="BB29" i="8"/>
  <c r="AO32" i="8"/>
  <c r="AZ8" i="14"/>
  <c r="AY8" i="14"/>
  <c r="AZ14" i="14"/>
  <c r="AY14" i="14"/>
  <c r="BD18" i="14"/>
  <c r="AY22" i="14"/>
  <c r="AZ22" i="14"/>
  <c r="AS9" i="11"/>
  <c r="AZ31" i="14"/>
  <c r="AY31" i="14"/>
  <c r="AS19" i="11"/>
  <c r="AS32" i="11"/>
  <c r="AY21" i="14"/>
  <c r="AZ21" i="14"/>
  <c r="AS21" i="11"/>
  <c r="AS16" i="11"/>
  <c r="BD33" i="14"/>
  <c r="AZ23" i="14"/>
  <c r="AY23" i="14"/>
  <c r="AZ24" i="14"/>
  <c r="AY24" i="14"/>
  <c r="BA17" i="12"/>
  <c r="AV17" i="12"/>
  <c r="AW17" i="12" s="1"/>
  <c r="BA13" i="12"/>
  <c r="AV13" i="12"/>
  <c r="AW13" i="12" s="1"/>
  <c r="BA15" i="12"/>
  <c r="AV15" i="12"/>
  <c r="AW15" i="12" s="1"/>
  <c r="AV28" i="12"/>
  <c r="AW28" i="12" s="1"/>
  <c r="BA28" i="12"/>
  <c r="AV34" i="12"/>
  <c r="AW34" i="12" s="1"/>
  <c r="BA34" i="12"/>
  <c r="BA11" i="12"/>
  <c r="AV11" i="12"/>
  <c r="AW11" i="12" s="1"/>
  <c r="BA12" i="12"/>
  <c r="AV12" i="12"/>
  <c r="AW12" i="12" s="1"/>
  <c r="AV22" i="12"/>
  <c r="AW22" i="12" s="1"/>
  <c r="BA22" i="12"/>
  <c r="AV27" i="12"/>
  <c r="AW27" i="12" s="1"/>
  <c r="BA27" i="12"/>
  <c r="BA9" i="12"/>
  <c r="AV9" i="12"/>
  <c r="AW9" i="12" s="1"/>
  <c r="AZ13" i="14"/>
  <c r="AY13" i="14"/>
  <c r="BA19" i="12"/>
  <c r="AV19" i="12"/>
  <c r="AW19" i="12" s="1"/>
  <c r="AM23" i="9"/>
  <c r="AM27" i="9"/>
  <c r="AM26" i="9"/>
  <c r="AM31" i="9"/>
  <c r="AM35" i="9"/>
  <c r="AO23" i="9"/>
  <c r="AM22" i="9"/>
  <c r="AM28" i="9"/>
  <c r="AM32" i="9"/>
  <c r="AM36" i="9"/>
  <c r="AM24" i="9"/>
  <c r="AM29" i="9"/>
  <c r="AM33" i="9"/>
  <c r="AN22" i="9"/>
  <c r="BB22" i="9"/>
  <c r="AM25" i="9"/>
  <c r="BB23" i="9"/>
  <c r="AO26" i="9"/>
  <c r="AN27" i="9"/>
  <c r="BB27" i="9"/>
  <c r="AO30" i="9"/>
  <c r="AN31" i="9"/>
  <c r="BB31" i="9"/>
  <c r="AO34" i="9"/>
  <c r="AN35" i="9"/>
  <c r="BB35" i="9"/>
  <c r="AM21" i="9"/>
  <c r="AO20" i="9"/>
  <c r="AM19" i="9"/>
  <c r="AO18" i="9"/>
  <c r="AM17" i="9"/>
  <c r="AO16" i="9"/>
  <c r="AM15" i="9"/>
  <c r="AO14" i="9"/>
  <c r="AM13" i="9"/>
  <c r="AO12" i="9"/>
  <c r="AM11" i="9"/>
  <c r="AO10" i="9"/>
  <c r="AM9" i="9"/>
  <c r="AO8" i="9"/>
  <c r="AM7" i="9"/>
  <c r="AO22" i="9"/>
  <c r="AN26" i="9"/>
  <c r="AN30" i="9"/>
  <c r="BB30" i="9"/>
  <c r="AO33" i="9"/>
  <c r="AN34" i="9"/>
  <c r="BB34" i="9"/>
  <c r="BB21" i="9"/>
  <c r="AN21" i="9"/>
  <c r="BB17" i="9"/>
  <c r="AN15" i="9"/>
  <c r="AN13" i="9"/>
  <c r="AN11" i="9"/>
  <c r="BB9" i="9"/>
  <c r="BB7" i="9"/>
  <c r="AN7" i="9"/>
  <c r="AM30" i="9"/>
  <c r="AN23" i="9"/>
  <c r="AN24" i="9"/>
  <c r="BB24" i="9"/>
  <c r="AO27" i="9"/>
  <c r="AN28" i="9"/>
  <c r="BB28" i="9"/>
  <c r="AO31" i="9"/>
  <c r="AN32" i="9"/>
  <c r="BB32" i="9"/>
  <c r="AO35" i="9"/>
  <c r="AN36" i="9"/>
  <c r="BB20" i="9"/>
  <c r="AN20" i="9"/>
  <c r="BB18" i="9"/>
  <c r="AN18" i="9"/>
  <c r="BB16" i="9"/>
  <c r="AN16" i="9"/>
  <c r="BB14" i="9"/>
  <c r="AN14" i="9"/>
  <c r="BB12" i="9"/>
  <c r="AN12" i="9"/>
  <c r="BB10" i="9"/>
  <c r="AN10" i="9"/>
  <c r="BB8" i="9"/>
  <c r="AN8" i="9"/>
  <c r="AO25" i="9"/>
  <c r="BB26" i="9"/>
  <c r="AO29" i="9"/>
  <c r="BB19" i="9"/>
  <c r="AN19" i="9"/>
  <c r="AN17" i="9"/>
  <c r="BB15" i="9"/>
  <c r="BB13" i="9"/>
  <c r="BB11" i="9"/>
  <c r="AN9" i="9"/>
  <c r="AM34" i="9"/>
  <c r="AO24" i="9"/>
  <c r="AN25" i="9"/>
  <c r="BB25" i="9"/>
  <c r="AO28" i="9"/>
  <c r="AN29" i="9"/>
  <c r="BB29" i="9"/>
  <c r="AO32" i="9"/>
  <c r="AN33" i="9"/>
  <c r="BB33" i="9"/>
  <c r="AO36" i="9"/>
  <c r="BB36" i="9"/>
  <c r="AO21" i="9"/>
  <c r="AM20" i="9"/>
  <c r="AO19" i="9"/>
  <c r="AM18" i="9"/>
  <c r="AO17" i="9"/>
  <c r="AM16" i="9"/>
  <c r="AO15" i="9"/>
  <c r="AM14" i="9"/>
  <c r="AO13" i="9"/>
  <c r="AM12" i="9"/>
  <c r="AO11" i="9"/>
  <c r="AM10" i="9"/>
  <c r="AO9" i="9"/>
  <c r="AM8" i="9"/>
  <c r="AO7" i="9"/>
  <c r="AS34" i="11"/>
  <c r="AS33" i="11"/>
  <c r="AY9" i="14"/>
  <c r="AZ9" i="14"/>
  <c r="AZ10" i="14"/>
  <c r="AY10" i="14"/>
  <c r="BD32" i="14"/>
  <c r="AY16" i="14"/>
  <c r="AZ16" i="14"/>
  <c r="AZ19" i="14"/>
  <c r="AY19" i="14"/>
  <c r="AS11" i="11"/>
  <c r="AY26" i="14"/>
  <c r="AZ26" i="14"/>
  <c r="AY25" i="14"/>
  <c r="AZ25" i="14"/>
  <c r="AZ27" i="14"/>
  <c r="AY27" i="14"/>
  <c r="AS35" i="11"/>
  <c r="AS13" i="11"/>
  <c r="AS28" i="11"/>
  <c r="AY12" i="14"/>
  <c r="AZ12" i="14"/>
  <c r="AS7" i="11"/>
  <c r="BA10" i="12"/>
  <c r="AV10" i="12"/>
  <c r="AW10" i="12" s="1"/>
  <c r="BA8" i="12"/>
  <c r="AV8" i="12"/>
  <c r="AW8" i="12" s="1"/>
  <c r="BA18" i="12"/>
  <c r="AV18" i="12"/>
  <c r="AW18" i="12" s="1"/>
  <c r="BA21" i="12"/>
  <c r="AV21" i="12"/>
  <c r="AW21" i="12" s="1"/>
  <c r="BA14" i="12"/>
  <c r="AV14" i="12"/>
  <c r="AW14" i="12" s="1"/>
  <c r="AV24" i="12"/>
  <c r="AW24" i="12" s="1"/>
  <c r="BA24" i="12"/>
  <c r="BA20" i="12"/>
  <c r="AV20" i="12"/>
  <c r="AW20" i="12" s="1"/>
  <c r="AY6" i="14"/>
  <c r="AZ6" i="14"/>
  <c r="BA6" i="12"/>
  <c r="AV6" i="12"/>
  <c r="AW6" i="12" s="1"/>
  <c r="AS6" i="11"/>
  <c r="G4" i="9"/>
  <c r="G5" i="9" s="1"/>
  <c r="R4" i="9"/>
  <c r="R5" i="9" s="1"/>
  <c r="AC4" i="9"/>
  <c r="AC5" i="9" s="1"/>
  <c r="M4" i="9"/>
  <c r="M5" i="9" s="1"/>
  <c r="AH4" i="9"/>
  <c r="AH5" i="9" s="1"/>
  <c r="W4" i="9"/>
  <c r="W5" i="9" s="1"/>
  <c r="U4" i="10"/>
  <c r="U5" i="10" s="1"/>
  <c r="AK4" i="10"/>
  <c r="AK5" i="10" s="1"/>
  <c r="Y4" i="10"/>
  <c r="Y5" i="10" s="1"/>
  <c r="I4" i="10"/>
  <c r="I5" i="10" s="1"/>
  <c r="AX6" i="10"/>
  <c r="M4" i="10"/>
  <c r="M5" i="10" s="1"/>
  <c r="AC4" i="10"/>
  <c r="AC5" i="10" s="1"/>
  <c r="Q4" i="10"/>
  <c r="Q5" i="10" s="1"/>
  <c r="AG4" i="10"/>
  <c r="AG5" i="10" s="1"/>
  <c r="G4" i="10"/>
  <c r="G5" i="10" s="1"/>
  <c r="O4" i="10"/>
  <c r="O5" i="10" s="1"/>
  <c r="S4" i="10"/>
  <c r="S5" i="10" s="1"/>
  <c r="W4" i="10"/>
  <c r="W5" i="10" s="1"/>
  <c r="AA4" i="10"/>
  <c r="AA5" i="10" s="1"/>
  <c r="AE4" i="10"/>
  <c r="AE5" i="10" s="1"/>
  <c r="AI4" i="10"/>
  <c r="AI5" i="10" s="1"/>
  <c r="K4" i="10"/>
  <c r="H4" i="10"/>
  <c r="H5" i="10" s="1"/>
  <c r="L4" i="10"/>
  <c r="L5" i="10" s="1"/>
  <c r="P4" i="10"/>
  <c r="P5" i="10" s="1"/>
  <c r="T4" i="10"/>
  <c r="T5" i="10" s="1"/>
  <c r="X4" i="10"/>
  <c r="X5" i="10" s="1"/>
  <c r="AB4" i="10"/>
  <c r="AB5" i="10" s="1"/>
  <c r="AF4" i="10"/>
  <c r="AF5" i="10" s="1"/>
  <c r="AJ4" i="10"/>
  <c r="AJ5" i="10" s="1"/>
  <c r="J4" i="10"/>
  <c r="J5" i="10" s="1"/>
  <c r="N4" i="10"/>
  <c r="N5" i="10" s="1"/>
  <c r="R4" i="10"/>
  <c r="R5" i="10" s="1"/>
  <c r="V4" i="10"/>
  <c r="V5" i="10" s="1"/>
  <c r="Z4" i="10"/>
  <c r="Z5" i="10" s="1"/>
  <c r="AD4" i="10"/>
  <c r="AD5" i="10" s="1"/>
  <c r="AL4" i="10"/>
  <c r="AL5" i="10" s="1"/>
  <c r="I4" i="9"/>
  <c r="I5" i="9" s="1"/>
  <c r="N4" i="9"/>
  <c r="N5" i="9" s="1"/>
  <c r="S4" i="9"/>
  <c r="S5" i="9" s="1"/>
  <c r="Y4" i="9"/>
  <c r="Y5" i="9" s="1"/>
  <c r="AD4" i="9"/>
  <c r="AD5" i="9" s="1"/>
  <c r="AI4" i="9"/>
  <c r="AI5" i="9" s="1"/>
  <c r="J4" i="9"/>
  <c r="O4" i="9"/>
  <c r="O5" i="9" s="1"/>
  <c r="U4" i="9"/>
  <c r="U5" i="9" s="1"/>
  <c r="Z4" i="9"/>
  <c r="Z5" i="9" s="1"/>
  <c r="AE4" i="9"/>
  <c r="AE5" i="9" s="1"/>
  <c r="AK4" i="9"/>
  <c r="AK5" i="9" s="1"/>
  <c r="AJ4" i="9"/>
  <c r="AJ5" i="9" s="1"/>
  <c r="AF4" i="9"/>
  <c r="AF5" i="9" s="1"/>
  <c r="AB4" i="9"/>
  <c r="AB5" i="9" s="1"/>
  <c r="X4" i="9"/>
  <c r="X5" i="9" s="1"/>
  <c r="T4" i="9"/>
  <c r="T5" i="9" s="1"/>
  <c r="P4" i="9"/>
  <c r="P5" i="9" s="1"/>
  <c r="L4" i="9"/>
  <c r="L5" i="9" s="1"/>
  <c r="H4" i="9"/>
  <c r="H5" i="9" s="1"/>
  <c r="K4" i="9"/>
  <c r="K5" i="9" s="1"/>
  <c r="Q4" i="9"/>
  <c r="Q5" i="9" s="1"/>
  <c r="V4" i="9"/>
  <c r="V5" i="9" s="1"/>
  <c r="AA4" i="9"/>
  <c r="AA5" i="9" s="1"/>
  <c r="AG4" i="9"/>
  <c r="AG5" i="9" s="1"/>
  <c r="AL4" i="9"/>
  <c r="AL5" i="9" s="1"/>
  <c r="S4" i="8"/>
  <c r="S5" i="8" s="1"/>
  <c r="AX6" i="8"/>
  <c r="X4" i="8"/>
  <c r="X5" i="8" s="1"/>
  <c r="H4" i="8"/>
  <c r="H5" i="8" s="1"/>
  <c r="AD4" i="8"/>
  <c r="AD5" i="8" s="1"/>
  <c r="N4" i="8"/>
  <c r="N5" i="8" s="1"/>
  <c r="AI4" i="8"/>
  <c r="AI5" i="8" s="1"/>
  <c r="AK4" i="8"/>
  <c r="AK5" i="8" s="1"/>
  <c r="AG4" i="8"/>
  <c r="AG5" i="8" s="1"/>
  <c r="AC4" i="8"/>
  <c r="AC5" i="8" s="1"/>
  <c r="Y4" i="8"/>
  <c r="Y5" i="8" s="1"/>
  <c r="U4" i="8"/>
  <c r="U5" i="8" s="1"/>
  <c r="Q4" i="8"/>
  <c r="Q5" i="8" s="1"/>
  <c r="M4" i="8"/>
  <c r="M5" i="8" s="1"/>
  <c r="I4" i="8"/>
  <c r="I5" i="8" s="1"/>
  <c r="P4" i="8"/>
  <c r="P5" i="8" s="1"/>
  <c r="V4" i="8"/>
  <c r="V5" i="8" s="1"/>
  <c r="AA4" i="8"/>
  <c r="AA5" i="8" s="1"/>
  <c r="AF4" i="8"/>
  <c r="AF5" i="8" s="1"/>
  <c r="AL4" i="8"/>
  <c r="AL5" i="8" s="1"/>
  <c r="J4" i="8"/>
  <c r="J5" i="8" s="1"/>
  <c r="O4" i="8"/>
  <c r="O5" i="8" s="1"/>
  <c r="T4" i="8"/>
  <c r="T5" i="8" s="1"/>
  <c r="Z4" i="8"/>
  <c r="Z5" i="8" s="1"/>
  <c r="AE4" i="8"/>
  <c r="AE5" i="8" s="1"/>
  <c r="AJ4" i="8"/>
  <c r="AJ5" i="8" s="1"/>
  <c r="K4" i="8"/>
  <c r="K5" i="8" s="1"/>
  <c r="G4" i="8"/>
  <c r="L4" i="8"/>
  <c r="L5" i="8" s="1"/>
  <c r="R4" i="8"/>
  <c r="R5" i="8" s="1"/>
  <c r="W4" i="8"/>
  <c r="W5" i="8" s="1"/>
  <c r="AB4" i="8"/>
  <c r="AB5" i="8" s="1"/>
  <c r="AH4" i="8"/>
  <c r="AH5" i="8" s="1"/>
  <c r="D2" i="5"/>
  <c r="AX25" i="5" l="1"/>
  <c r="AX33" i="5"/>
  <c r="AX17" i="5"/>
  <c r="AX9" i="5"/>
  <c r="AX26" i="5"/>
  <c r="AX34" i="5"/>
  <c r="AX16" i="5"/>
  <c r="AX8" i="5"/>
  <c r="AX27" i="5"/>
  <c r="AX35" i="5"/>
  <c r="AX15" i="5"/>
  <c r="AX7" i="5"/>
  <c r="AX24" i="5"/>
  <c r="AX28" i="5"/>
  <c r="AX36" i="5"/>
  <c r="AX14" i="5"/>
  <c r="AX29" i="5"/>
  <c r="AX21" i="5"/>
  <c r="AX13" i="5"/>
  <c r="AX18" i="5"/>
  <c r="AX22" i="5"/>
  <c r="AX30" i="5"/>
  <c r="AX20" i="5"/>
  <c r="AX12" i="5"/>
  <c r="AX10" i="5"/>
  <c r="AX23" i="5"/>
  <c r="AX31" i="5"/>
  <c r="AX19" i="5"/>
  <c r="AX11" i="5"/>
  <c r="AX32" i="5"/>
  <c r="BA12" i="11"/>
  <c r="AV31" i="11"/>
  <c r="AW31" i="11" s="1"/>
  <c r="AY31" i="11" s="1"/>
  <c r="BD31" i="11" s="1"/>
  <c r="AV30" i="11"/>
  <c r="AW30" i="11" s="1"/>
  <c r="AZ30" i="11" s="1"/>
  <c r="BA15" i="11"/>
  <c r="BA25" i="11"/>
  <c r="BD10" i="14"/>
  <c r="AV29" i="11"/>
  <c r="AW29" i="11" s="1"/>
  <c r="AY29" i="11" s="1"/>
  <c r="BD29" i="11" s="1"/>
  <c r="BA36" i="11"/>
  <c r="AV20" i="11"/>
  <c r="AW20" i="11" s="1"/>
  <c r="AZ20" i="11" s="1"/>
  <c r="AV18" i="11"/>
  <c r="AW18" i="11" s="1"/>
  <c r="AY18" i="11" s="1"/>
  <c r="BD18" i="11" s="1"/>
  <c r="AV8" i="11"/>
  <c r="AW8" i="11" s="1"/>
  <c r="AZ8" i="11" s="1"/>
  <c r="BA24" i="11"/>
  <c r="BA26" i="11"/>
  <c r="BA27" i="11"/>
  <c r="AV10" i="11"/>
  <c r="AW10" i="11" s="1"/>
  <c r="AZ10" i="11" s="1"/>
  <c r="AV17" i="11"/>
  <c r="AW17" i="11" s="1"/>
  <c r="AZ17" i="11" s="1"/>
  <c r="AV22" i="11"/>
  <c r="AW22" i="11" s="1"/>
  <c r="AZ22" i="11" s="1"/>
  <c r="BD22" i="14"/>
  <c r="BD14" i="14"/>
  <c r="BA14" i="11"/>
  <c r="AS27" i="8"/>
  <c r="AV27" i="8" s="1"/>
  <c r="AW27" i="8" s="1"/>
  <c r="BD12" i="14"/>
  <c r="BD27" i="14"/>
  <c r="BD19" i="14"/>
  <c r="BD9" i="14"/>
  <c r="BD31" i="14"/>
  <c r="BD8" i="14"/>
  <c r="BD11" i="14"/>
  <c r="BD20" i="14"/>
  <c r="AY24" i="12"/>
  <c r="AZ24" i="12"/>
  <c r="AV35" i="11"/>
  <c r="AW35" i="11" s="1"/>
  <c r="BA35" i="11"/>
  <c r="BD25" i="14"/>
  <c r="BA11" i="11"/>
  <c r="AV11" i="11"/>
  <c r="AW11" i="11" s="1"/>
  <c r="BD16" i="14"/>
  <c r="BD13" i="14"/>
  <c r="AZ9" i="12"/>
  <c r="AY9" i="12"/>
  <c r="AY11" i="12"/>
  <c r="AZ11" i="12"/>
  <c r="AZ13" i="12"/>
  <c r="AY13" i="12"/>
  <c r="BD24" i="14"/>
  <c r="BD21" i="14"/>
  <c r="AS14" i="8"/>
  <c r="AS26" i="8"/>
  <c r="AS8" i="8"/>
  <c r="AS12" i="8"/>
  <c r="AS16" i="8"/>
  <c r="AS20" i="8"/>
  <c r="AS30" i="8"/>
  <c r="AS9" i="8"/>
  <c r="AS13" i="8"/>
  <c r="AS17" i="8"/>
  <c r="AS29" i="8"/>
  <c r="AZ30" i="12"/>
  <c r="AY30" i="12"/>
  <c r="BD29" i="14"/>
  <c r="AY21" i="12"/>
  <c r="AZ21" i="12"/>
  <c r="AY20" i="12"/>
  <c r="AZ20" i="12"/>
  <c r="AY14" i="12"/>
  <c r="AZ14" i="12"/>
  <c r="AY18" i="12"/>
  <c r="AZ18" i="12"/>
  <c r="AY10" i="12"/>
  <c r="AZ10" i="12"/>
  <c r="AZ36" i="11"/>
  <c r="AY36" i="11"/>
  <c r="BD36" i="11" s="1"/>
  <c r="AZ25" i="11"/>
  <c r="AY25" i="11"/>
  <c r="BD25" i="11" s="1"/>
  <c r="AZ22" i="12"/>
  <c r="AY22" i="12"/>
  <c r="AY28" i="12"/>
  <c r="AZ28" i="12"/>
  <c r="BA16" i="11"/>
  <c r="AV16" i="11"/>
  <c r="AW16" i="11" s="1"/>
  <c r="AV32" i="11"/>
  <c r="AW32" i="11" s="1"/>
  <c r="BA32" i="11"/>
  <c r="BA9" i="11"/>
  <c r="AV9" i="11"/>
  <c r="AW9" i="11" s="1"/>
  <c r="AY12" i="11"/>
  <c r="BD12" i="11" s="1"/>
  <c r="AZ12" i="11"/>
  <c r="AS22" i="8"/>
  <c r="AS31" i="8"/>
  <c r="AS23" i="8"/>
  <c r="AS21" i="8"/>
  <c r="BA21" i="8" s="1"/>
  <c r="AY16" i="12"/>
  <c r="AZ16" i="12"/>
  <c r="AZ26" i="12"/>
  <c r="AY26" i="12"/>
  <c r="AY32" i="12"/>
  <c r="AZ32" i="12"/>
  <c r="AZ29" i="12"/>
  <c r="AY29" i="12"/>
  <c r="BD30" i="14"/>
  <c r="AY35" i="12"/>
  <c r="AZ35" i="12"/>
  <c r="AY8" i="12"/>
  <c r="AZ8" i="12"/>
  <c r="AM22" i="5"/>
  <c r="AN22" i="5"/>
  <c r="BB22" i="5"/>
  <c r="AN24" i="5"/>
  <c r="BB24" i="5"/>
  <c r="AN26" i="5"/>
  <c r="BB26" i="5"/>
  <c r="AN28" i="5"/>
  <c r="BB28" i="5"/>
  <c r="AN30" i="5"/>
  <c r="BB30" i="5"/>
  <c r="AN32" i="5"/>
  <c r="BB32" i="5"/>
  <c r="AN34" i="5"/>
  <c r="BB34" i="5"/>
  <c r="AN36" i="5"/>
  <c r="BB36" i="5"/>
  <c r="AO21" i="5"/>
  <c r="AM20" i="5"/>
  <c r="AO19" i="5"/>
  <c r="AM18" i="5"/>
  <c r="AO17" i="5"/>
  <c r="AM16" i="5"/>
  <c r="AO15" i="5"/>
  <c r="AM14" i="5"/>
  <c r="AO13" i="5"/>
  <c r="AM12" i="5"/>
  <c r="AO11" i="5"/>
  <c r="AM10" i="5"/>
  <c r="AO9" i="5"/>
  <c r="AM8" i="5"/>
  <c r="AO7" i="5"/>
  <c r="AO22" i="5"/>
  <c r="AM23" i="5"/>
  <c r="AO24" i="5"/>
  <c r="AM25" i="5"/>
  <c r="AO26" i="5"/>
  <c r="AM27" i="5"/>
  <c r="AO28" i="5"/>
  <c r="AM29" i="5"/>
  <c r="AO30" i="5"/>
  <c r="AM31" i="5"/>
  <c r="AO32" i="5"/>
  <c r="AM33" i="5"/>
  <c r="AO34" i="5"/>
  <c r="AM35" i="5"/>
  <c r="AO36" i="5"/>
  <c r="BB21" i="5"/>
  <c r="AN21" i="5"/>
  <c r="BB19" i="5"/>
  <c r="AN19" i="5"/>
  <c r="BB17" i="5"/>
  <c r="AN17" i="5"/>
  <c r="BB15" i="5"/>
  <c r="AN15" i="5"/>
  <c r="BB13" i="5"/>
  <c r="AN13" i="5"/>
  <c r="BB11" i="5"/>
  <c r="AN11" i="5"/>
  <c r="BB9" i="5"/>
  <c r="AN9" i="5"/>
  <c r="BB7" i="5"/>
  <c r="AN7" i="5"/>
  <c r="AN23" i="5"/>
  <c r="BB23" i="5"/>
  <c r="AN25" i="5"/>
  <c r="BB25" i="5"/>
  <c r="AN27" i="5"/>
  <c r="BB27" i="5"/>
  <c r="AN29" i="5"/>
  <c r="BB29" i="5"/>
  <c r="AN31" i="5"/>
  <c r="BB31" i="5"/>
  <c r="AN33" i="5"/>
  <c r="BB33" i="5"/>
  <c r="AN35" i="5"/>
  <c r="BB35" i="5"/>
  <c r="AM21" i="5"/>
  <c r="AO20" i="5"/>
  <c r="AM19" i="5"/>
  <c r="AO18" i="5"/>
  <c r="BB18" i="5"/>
  <c r="AO16" i="5"/>
  <c r="AM15" i="5"/>
  <c r="AN14" i="5"/>
  <c r="BB12" i="5"/>
  <c r="AO8" i="5"/>
  <c r="AM7" i="5"/>
  <c r="AO23" i="5"/>
  <c r="AO25" i="5"/>
  <c r="AO27" i="5"/>
  <c r="AO29" i="5"/>
  <c r="AO31" i="5"/>
  <c r="AO33" i="5"/>
  <c r="AO35" i="5"/>
  <c r="AN20" i="5"/>
  <c r="AM17" i="5"/>
  <c r="AN16" i="5"/>
  <c r="BB14" i="5"/>
  <c r="AO10" i="5"/>
  <c r="AM9" i="5"/>
  <c r="AN8" i="5"/>
  <c r="AM28" i="5"/>
  <c r="AM36" i="5"/>
  <c r="BB20" i="5"/>
  <c r="AO14" i="5"/>
  <c r="AM11" i="5"/>
  <c r="AM26" i="5"/>
  <c r="AM34" i="5"/>
  <c r="AN18" i="5"/>
  <c r="AO12" i="5"/>
  <c r="BB10" i="5"/>
  <c r="BB8" i="5"/>
  <c r="AM24" i="5"/>
  <c r="AM32" i="5"/>
  <c r="AN12" i="5"/>
  <c r="AM30" i="5"/>
  <c r="AM13" i="5"/>
  <c r="AN10" i="5"/>
  <c r="BB16" i="5"/>
  <c r="AV28" i="11"/>
  <c r="AW28" i="11" s="1"/>
  <c r="BA28" i="11"/>
  <c r="BD26" i="14"/>
  <c r="AV33" i="11"/>
  <c r="AW33" i="11" s="1"/>
  <c r="BA33" i="11"/>
  <c r="AY19" i="12"/>
  <c r="BD19" i="12" s="1"/>
  <c r="AZ19" i="12"/>
  <c r="AY12" i="12"/>
  <c r="AZ12" i="12"/>
  <c r="AY15" i="12"/>
  <c r="AZ15" i="12"/>
  <c r="AZ17" i="12"/>
  <c r="AY17" i="12"/>
  <c r="BD23" i="14"/>
  <c r="BA21" i="11"/>
  <c r="AV21" i="11"/>
  <c r="AW21" i="11" s="1"/>
  <c r="BA19" i="11"/>
  <c r="AV19" i="11"/>
  <c r="AW19" i="11" s="1"/>
  <c r="AS10" i="8"/>
  <c r="AS18" i="8"/>
  <c r="AS36" i="8"/>
  <c r="AS32" i="8"/>
  <c r="AS33" i="8"/>
  <c r="AS25" i="8"/>
  <c r="AZ33" i="12"/>
  <c r="AY33" i="12"/>
  <c r="AY7" i="12"/>
  <c r="AZ7" i="12"/>
  <c r="AY15" i="11"/>
  <c r="BD15" i="11" s="1"/>
  <c r="AZ15" i="11"/>
  <c r="BA7" i="11"/>
  <c r="AV7" i="11"/>
  <c r="AW7" i="11" s="1"/>
  <c r="BA13" i="11"/>
  <c r="AV13" i="11"/>
  <c r="AW13" i="11" s="1"/>
  <c r="AV34" i="11"/>
  <c r="AW34" i="11" s="1"/>
  <c r="BA34" i="11"/>
  <c r="AY30" i="11"/>
  <c r="BD30" i="11" s="1"/>
  <c r="AY27" i="12"/>
  <c r="AZ27" i="12"/>
  <c r="AY24" i="11"/>
  <c r="BD24" i="11" s="1"/>
  <c r="AZ24" i="11"/>
  <c r="AZ34" i="12"/>
  <c r="AY34" i="12"/>
  <c r="AZ26" i="11"/>
  <c r="AY26" i="11"/>
  <c r="BD26" i="11" s="1"/>
  <c r="AZ14" i="11"/>
  <c r="AY14" i="11"/>
  <c r="BD14" i="11" s="1"/>
  <c r="AS34" i="8"/>
  <c r="AS7" i="8"/>
  <c r="AS11" i="8"/>
  <c r="AS15" i="8"/>
  <c r="AS19" i="8"/>
  <c r="AS28" i="8"/>
  <c r="AS24" i="8"/>
  <c r="AS35" i="8"/>
  <c r="AZ25" i="12"/>
  <c r="AY25" i="12"/>
  <c r="AY23" i="12"/>
  <c r="AZ23" i="12"/>
  <c r="AY36" i="12"/>
  <c r="AZ36" i="12"/>
  <c r="AY31" i="12"/>
  <c r="AZ31" i="12"/>
  <c r="AY27" i="11"/>
  <c r="BD27" i="11" s="1"/>
  <c r="AZ27" i="11"/>
  <c r="AY23" i="11"/>
  <c r="BD23" i="11" s="1"/>
  <c r="AZ23" i="11"/>
  <c r="BD6" i="14"/>
  <c r="AY6" i="12"/>
  <c r="AZ6" i="12"/>
  <c r="BA6" i="11"/>
  <c r="AV6" i="11"/>
  <c r="AW6" i="11" s="1"/>
  <c r="BB6" i="9"/>
  <c r="AR6" i="10"/>
  <c r="AQ6" i="10"/>
  <c r="AP6" i="10"/>
  <c r="BB6" i="10"/>
  <c r="BB6" i="8"/>
  <c r="K5" i="10"/>
  <c r="AS25" i="10" s="1"/>
  <c r="AO6" i="10"/>
  <c r="AM6" i="10"/>
  <c r="AN6" i="10"/>
  <c r="AN6" i="9"/>
  <c r="AM6" i="9"/>
  <c r="J5" i="9"/>
  <c r="AS25" i="9" s="1"/>
  <c r="AO6" i="9"/>
  <c r="AO6" i="8"/>
  <c r="AM6" i="8"/>
  <c r="AN6" i="8"/>
  <c r="G5" i="8"/>
  <c r="AX6" i="5"/>
  <c r="AC4" i="5"/>
  <c r="Y4" i="5"/>
  <c r="U4" i="5"/>
  <c r="Q4" i="5"/>
  <c r="M4" i="5"/>
  <c r="AE4" i="5"/>
  <c r="AI4" i="5"/>
  <c r="J4" i="5"/>
  <c r="AB4" i="5"/>
  <c r="X4" i="5"/>
  <c r="T4" i="5"/>
  <c r="P4" i="5"/>
  <c r="L4" i="5"/>
  <c r="AF4" i="5"/>
  <c r="AJ4" i="5"/>
  <c r="I4" i="5"/>
  <c r="AA4" i="5"/>
  <c r="W4" i="5"/>
  <c r="S4" i="5"/>
  <c r="O4" i="5"/>
  <c r="K4" i="5"/>
  <c r="AO6" i="5" s="1"/>
  <c r="AG4" i="5"/>
  <c r="AL4" i="5"/>
  <c r="AL5" i="5" s="1"/>
  <c r="G4" i="5"/>
  <c r="Z4" i="5"/>
  <c r="V4" i="5"/>
  <c r="R4" i="5"/>
  <c r="N4" i="5"/>
  <c r="AD4" i="5"/>
  <c r="AH4" i="5"/>
  <c r="AK4" i="5"/>
  <c r="H4" i="5"/>
  <c r="BD13" i="12" l="1"/>
  <c r="BD7" i="12"/>
  <c r="BD29" i="12"/>
  <c r="BD6" i="12"/>
  <c r="BD36" i="12"/>
  <c r="BD23" i="12"/>
  <c r="BD25" i="12"/>
  <c r="BD33" i="12"/>
  <c r="BD12" i="12"/>
  <c r="BD32" i="12"/>
  <c r="BD20" i="12"/>
  <c r="BD35" i="12"/>
  <c r="BD18" i="12"/>
  <c r="BD15" i="12"/>
  <c r="BD14" i="12"/>
  <c r="BD11" i="12"/>
  <c r="BD9" i="12"/>
  <c r="BD31" i="12"/>
  <c r="BD27" i="12"/>
  <c r="BD8" i="12"/>
  <c r="BD26" i="12"/>
  <c r="BD24" i="12"/>
  <c r="BD28" i="12"/>
  <c r="BD10" i="12"/>
  <c r="BD21" i="12"/>
  <c r="BD17" i="12"/>
  <c r="BD22" i="12"/>
  <c r="BD34" i="12"/>
  <c r="BD16" i="12"/>
  <c r="BD30" i="12"/>
  <c r="AZ31" i="11"/>
  <c r="AY10" i="11"/>
  <c r="BD10" i="11" s="1"/>
  <c r="AY20" i="11"/>
  <c r="BD20" i="11" s="1"/>
  <c r="AZ18" i="11"/>
  <c r="AY8" i="11"/>
  <c r="BD8" i="11" s="1"/>
  <c r="AZ29" i="11"/>
  <c r="AV21" i="8"/>
  <c r="AW21" i="8" s="1"/>
  <c r="AZ21" i="8" s="1"/>
  <c r="AY17" i="11"/>
  <c r="BD17" i="11" s="1"/>
  <c r="AY22" i="11"/>
  <c r="BD22" i="11" s="1"/>
  <c r="BA27" i="8"/>
  <c r="BA25" i="9"/>
  <c r="AV25" i="9"/>
  <c r="AW25" i="9" s="1"/>
  <c r="AV25" i="10"/>
  <c r="AW25" i="10" s="1"/>
  <c r="BA25" i="10"/>
  <c r="AV28" i="8"/>
  <c r="AW28" i="8" s="1"/>
  <c r="BA28" i="8"/>
  <c r="BA7" i="8"/>
  <c r="AV7" i="8"/>
  <c r="AW7" i="8" s="1"/>
  <c r="AS16" i="9"/>
  <c r="AZ7" i="11"/>
  <c r="AY7" i="11"/>
  <c r="BD7" i="11" s="1"/>
  <c r="AS31" i="10"/>
  <c r="AS19" i="10"/>
  <c r="AS11" i="10"/>
  <c r="AV36" i="8"/>
  <c r="AW36" i="8" s="1"/>
  <c r="BA36" i="8"/>
  <c r="AZ28" i="11"/>
  <c r="AY28" i="11"/>
  <c r="BD28" i="11" s="1"/>
  <c r="AS23" i="10"/>
  <c r="AS36" i="10"/>
  <c r="AV31" i="8"/>
  <c r="AW31" i="8" s="1"/>
  <c r="BA31" i="8"/>
  <c r="AY9" i="11"/>
  <c r="BD9" i="11" s="1"/>
  <c r="AZ9" i="11"/>
  <c r="AZ16" i="11"/>
  <c r="AY16" i="11"/>
  <c r="BD16" i="11" s="1"/>
  <c r="AS20" i="9"/>
  <c r="AS34" i="9"/>
  <c r="AS18" i="9"/>
  <c r="AS35" i="9"/>
  <c r="AS10" i="10"/>
  <c r="BA9" i="8"/>
  <c r="AV9" i="8"/>
  <c r="AW9" i="8" s="1"/>
  <c r="BA12" i="8"/>
  <c r="AV12" i="8"/>
  <c r="AW12" i="8" s="1"/>
  <c r="AS17" i="9"/>
  <c r="AS26" i="10"/>
  <c r="AS22" i="10"/>
  <c r="BA19" i="8"/>
  <c r="AV19" i="8"/>
  <c r="AW19" i="8" s="1"/>
  <c r="AS29" i="9"/>
  <c r="AS12" i="9"/>
  <c r="AY34" i="11"/>
  <c r="BD34" i="11" s="1"/>
  <c r="AZ34" i="11"/>
  <c r="AS33" i="10"/>
  <c r="AS7" i="10"/>
  <c r="AV25" i="8"/>
  <c r="AW25" i="8" s="1"/>
  <c r="BA25" i="8"/>
  <c r="BA18" i="8"/>
  <c r="AV18" i="8"/>
  <c r="AW18" i="8" s="1"/>
  <c r="AY21" i="11"/>
  <c r="BD21" i="11" s="1"/>
  <c r="AZ21" i="11"/>
  <c r="AZ33" i="11"/>
  <c r="AY33" i="11"/>
  <c r="BD33" i="11" s="1"/>
  <c r="AS35" i="10"/>
  <c r="AS29" i="10"/>
  <c r="AS14" i="10"/>
  <c r="AV22" i="8"/>
  <c r="AW22" i="8" s="1"/>
  <c r="BA22" i="8"/>
  <c r="AS14" i="9"/>
  <c r="AS15" i="9"/>
  <c r="AS23" i="9"/>
  <c r="AS20" i="10"/>
  <c r="AS27" i="10"/>
  <c r="AV29" i="8"/>
  <c r="AW29" i="8" s="1"/>
  <c r="BA29" i="8"/>
  <c r="AV30" i="8"/>
  <c r="AW30" i="8" s="1"/>
  <c r="BA30" i="8"/>
  <c r="BA8" i="8"/>
  <c r="AV8" i="8"/>
  <c r="AW8" i="8" s="1"/>
  <c r="AS32" i="9"/>
  <c r="AS9" i="9"/>
  <c r="AY11" i="11"/>
  <c r="BD11" i="11" s="1"/>
  <c r="AZ11" i="11"/>
  <c r="AY35" i="11"/>
  <c r="BD35" i="11" s="1"/>
  <c r="AZ35" i="11"/>
  <c r="AV35" i="8"/>
  <c r="AW35" i="8" s="1"/>
  <c r="BA35" i="8"/>
  <c r="BA15" i="8"/>
  <c r="AV15" i="8"/>
  <c r="AW15" i="8" s="1"/>
  <c r="AV34" i="8"/>
  <c r="AW34" i="8" s="1"/>
  <c r="BA34" i="8"/>
  <c r="AS33" i="9"/>
  <c r="AS19" i="9"/>
  <c r="AY13" i="11"/>
  <c r="BD13" i="11" s="1"/>
  <c r="AZ13" i="11"/>
  <c r="AS21" i="10"/>
  <c r="AS17" i="10"/>
  <c r="AV33" i="8"/>
  <c r="AW33" i="8" s="1"/>
  <c r="BA33" i="8"/>
  <c r="BA10" i="8"/>
  <c r="AV10" i="8"/>
  <c r="AW10" i="8" s="1"/>
  <c r="AS21" i="9"/>
  <c r="AS30" i="10"/>
  <c r="AS26" i="9"/>
  <c r="AS7" i="9"/>
  <c r="AS27" i="9"/>
  <c r="AS18" i="10"/>
  <c r="BA17" i="8"/>
  <c r="AV17" i="8"/>
  <c r="AW17" i="8" s="1"/>
  <c r="BA20" i="8"/>
  <c r="AV20" i="8"/>
  <c r="AW20" i="8" s="1"/>
  <c r="AV26" i="8"/>
  <c r="AW26" i="8" s="1"/>
  <c r="BA26" i="8"/>
  <c r="AS36" i="9"/>
  <c r="AS24" i="9"/>
  <c r="AZ27" i="8"/>
  <c r="AY27" i="8"/>
  <c r="AS28" i="10"/>
  <c r="AS34" i="10"/>
  <c r="AS16" i="10"/>
  <c r="AS8" i="10"/>
  <c r="AV24" i="8"/>
  <c r="AW24" i="8" s="1"/>
  <c r="BA24" i="8"/>
  <c r="BA11" i="8"/>
  <c r="AV11" i="8"/>
  <c r="AW11" i="8" s="1"/>
  <c r="AS11" i="9"/>
  <c r="AS13" i="10"/>
  <c r="AS15" i="10"/>
  <c r="AS32" i="10"/>
  <c r="AS9" i="10"/>
  <c r="AV32" i="8"/>
  <c r="AW32" i="8" s="1"/>
  <c r="BA32" i="8"/>
  <c r="AZ19" i="11"/>
  <c r="AY19" i="11"/>
  <c r="BD19" i="11" s="1"/>
  <c r="AS13" i="9"/>
  <c r="AS24" i="10"/>
  <c r="AV23" i="8"/>
  <c r="AW23" i="8" s="1"/>
  <c r="BA23" i="8"/>
  <c r="AY32" i="11"/>
  <c r="BD32" i="11" s="1"/>
  <c r="AZ32" i="11"/>
  <c r="AS30" i="9"/>
  <c r="AS28" i="9"/>
  <c r="AS31" i="9"/>
  <c r="AS12" i="10"/>
  <c r="BA13" i="8"/>
  <c r="AV13" i="8"/>
  <c r="AW13" i="8" s="1"/>
  <c r="BA16" i="8"/>
  <c r="AV16" i="8"/>
  <c r="AW16" i="8" s="1"/>
  <c r="BA14" i="8"/>
  <c r="AV14" i="8"/>
  <c r="AW14" i="8" s="1"/>
  <c r="AS22" i="9"/>
  <c r="AS8" i="9"/>
  <c r="AS10" i="9"/>
  <c r="AY6" i="11"/>
  <c r="BD6" i="11" s="1"/>
  <c r="AZ6" i="11"/>
  <c r="AS6" i="10"/>
  <c r="AV6" i="10" s="1"/>
  <c r="AS6" i="9"/>
  <c r="AS6" i="8"/>
  <c r="BA6" i="8" s="1"/>
  <c r="BB6" i="5"/>
  <c r="AN6" i="5"/>
  <c r="AI5" i="5"/>
  <c r="AM6" i="5"/>
  <c r="G5" i="5"/>
  <c r="J5" i="5"/>
  <c r="AG5" i="5"/>
  <c r="AB5" i="5"/>
  <c r="S5" i="5"/>
  <c r="AD5" i="5"/>
  <c r="AF5" i="5"/>
  <c r="Z5" i="5"/>
  <c r="AC5" i="5"/>
  <c r="M5" i="5"/>
  <c r="T5" i="5"/>
  <c r="AE5" i="5"/>
  <c r="O5" i="5"/>
  <c r="V5" i="5"/>
  <c r="X5" i="5"/>
  <c r="R5" i="5"/>
  <c r="Y5" i="5"/>
  <c r="I5" i="5"/>
  <c r="L5" i="5"/>
  <c r="AA5" i="5"/>
  <c r="K5" i="5"/>
  <c r="N5" i="5"/>
  <c r="P5" i="5"/>
  <c r="AK5" i="5"/>
  <c r="U5" i="5"/>
  <c r="AJ5" i="5"/>
  <c r="H5" i="5"/>
  <c r="W5" i="5"/>
  <c r="AH5" i="5"/>
  <c r="Q5" i="5"/>
  <c r="BD27" i="8" l="1"/>
  <c r="AY21" i="8"/>
  <c r="BD21" i="8" s="1"/>
  <c r="BA22" i="9"/>
  <c r="AV22" i="9"/>
  <c r="AW22" i="9" s="1"/>
  <c r="AZ14" i="8"/>
  <c r="AY14" i="8"/>
  <c r="AY13" i="8"/>
  <c r="AZ13" i="8"/>
  <c r="BA28" i="9"/>
  <c r="AV28" i="9"/>
  <c r="AW28" i="9" s="1"/>
  <c r="BA13" i="9"/>
  <c r="AV13" i="9"/>
  <c r="AW13" i="9" s="1"/>
  <c r="AZ32" i="8"/>
  <c r="AY32" i="8"/>
  <c r="BA13" i="10"/>
  <c r="AV13" i="10"/>
  <c r="AW13" i="10" s="1"/>
  <c r="BA34" i="10"/>
  <c r="AV34" i="10"/>
  <c r="AW34" i="10" s="1"/>
  <c r="AV24" i="9"/>
  <c r="AW24" i="9" s="1"/>
  <c r="BA24" i="9"/>
  <c r="AY20" i="8"/>
  <c r="AZ20" i="8"/>
  <c r="AV18" i="10"/>
  <c r="AW18" i="10" s="1"/>
  <c r="BA18" i="10"/>
  <c r="BA30" i="10"/>
  <c r="AV30" i="10"/>
  <c r="AW30" i="10" s="1"/>
  <c r="AY8" i="8"/>
  <c r="AZ8" i="8"/>
  <c r="AV23" i="9"/>
  <c r="AW23" i="9" s="1"/>
  <c r="BA23" i="9"/>
  <c r="AZ22" i="8"/>
  <c r="AY22" i="8"/>
  <c r="AY18" i="8"/>
  <c r="AZ18" i="8"/>
  <c r="BA7" i="10"/>
  <c r="AV7" i="10"/>
  <c r="AW7" i="10" s="1"/>
  <c r="BA12" i="9"/>
  <c r="AV12" i="9"/>
  <c r="AW12" i="9" s="1"/>
  <c r="AY19" i="8"/>
  <c r="AZ19" i="8"/>
  <c r="BA17" i="9"/>
  <c r="AV17" i="9"/>
  <c r="AW17" i="9" s="1"/>
  <c r="BA34" i="9"/>
  <c r="AV34" i="9"/>
  <c r="AW34" i="9" s="1"/>
  <c r="BA36" i="10"/>
  <c r="AV36" i="10"/>
  <c r="AW36" i="10" s="1"/>
  <c r="AV31" i="10"/>
  <c r="AW31" i="10" s="1"/>
  <c r="BA31" i="10"/>
  <c r="AZ7" i="8"/>
  <c r="AY7" i="8"/>
  <c r="BD7" i="8" s="1"/>
  <c r="BA8" i="9"/>
  <c r="AV8" i="9"/>
  <c r="AW8" i="9" s="1"/>
  <c r="AS23" i="5"/>
  <c r="AS31" i="5"/>
  <c r="AS18" i="5"/>
  <c r="AS10" i="5"/>
  <c r="AS26" i="5"/>
  <c r="AS34" i="5"/>
  <c r="AS11" i="5"/>
  <c r="AS29" i="5"/>
  <c r="AS20" i="5"/>
  <c r="AS12" i="5"/>
  <c r="AS24" i="5"/>
  <c r="AS32" i="5"/>
  <c r="AS17" i="5"/>
  <c r="AS7" i="5"/>
  <c r="AS21" i="5"/>
  <c r="AS27" i="5"/>
  <c r="AS35" i="5"/>
  <c r="AS14" i="5"/>
  <c r="AS22" i="5"/>
  <c r="AS30" i="5"/>
  <c r="AS9" i="5"/>
  <c r="AS15" i="5"/>
  <c r="AS19" i="5"/>
  <c r="AS25" i="5"/>
  <c r="AS33" i="5"/>
  <c r="AS16" i="5"/>
  <c r="AS8" i="5"/>
  <c r="AS28" i="5"/>
  <c r="AS36" i="5"/>
  <c r="AS13" i="5"/>
  <c r="BA10" i="9"/>
  <c r="AV10" i="9"/>
  <c r="AW10" i="9" s="1"/>
  <c r="BA30" i="9"/>
  <c r="AV30" i="9"/>
  <c r="AW30" i="9" s="1"/>
  <c r="AZ23" i="8"/>
  <c r="AY23" i="8"/>
  <c r="BA9" i="10"/>
  <c r="AV9" i="10"/>
  <c r="AW9" i="10" s="1"/>
  <c r="BA11" i="9"/>
  <c r="AV11" i="9"/>
  <c r="AW11" i="9" s="1"/>
  <c r="AZ24" i="8"/>
  <c r="AY24" i="8"/>
  <c r="BA28" i="10"/>
  <c r="AV28" i="10"/>
  <c r="AW28" i="10" s="1"/>
  <c r="AV36" i="9"/>
  <c r="AW36" i="9" s="1"/>
  <c r="BA36" i="9"/>
  <c r="AV27" i="9"/>
  <c r="AW27" i="9" s="1"/>
  <c r="BA27" i="9"/>
  <c r="BA21" i="9"/>
  <c r="AV21" i="9"/>
  <c r="AW21" i="9" s="1"/>
  <c r="AZ33" i="8"/>
  <c r="AY33" i="8"/>
  <c r="AZ34" i="8"/>
  <c r="AY34" i="8"/>
  <c r="BD34" i="8" s="1"/>
  <c r="AZ35" i="8"/>
  <c r="AY35" i="8"/>
  <c r="BD35" i="8" s="1"/>
  <c r="AZ29" i="8"/>
  <c r="AY29" i="8"/>
  <c r="BA15" i="9"/>
  <c r="AV15" i="9"/>
  <c r="AW15" i="9" s="1"/>
  <c r="AV14" i="10"/>
  <c r="AW14" i="10" s="1"/>
  <c r="BA14" i="10"/>
  <c r="AV33" i="10"/>
  <c r="AW33" i="10" s="1"/>
  <c r="BA33" i="10"/>
  <c r="BA29" i="9"/>
  <c r="AV29" i="9"/>
  <c r="AW29" i="9" s="1"/>
  <c r="AY12" i="8"/>
  <c r="AZ12" i="8"/>
  <c r="AV10" i="10"/>
  <c r="AW10" i="10" s="1"/>
  <c r="BA10" i="10"/>
  <c r="BA20" i="9"/>
  <c r="AV20" i="9"/>
  <c r="AW20" i="9" s="1"/>
  <c r="AV23" i="10"/>
  <c r="AW23" i="10" s="1"/>
  <c r="BA23" i="10"/>
  <c r="AZ36" i="8"/>
  <c r="AY36" i="8"/>
  <c r="AZ25" i="10"/>
  <c r="AY25" i="10"/>
  <c r="BD25" i="10" s="1"/>
  <c r="BA12" i="10"/>
  <c r="AV12" i="10"/>
  <c r="AW12" i="10" s="1"/>
  <c r="BA24" i="10"/>
  <c r="AV24" i="10"/>
  <c r="AW24" i="10" s="1"/>
  <c r="BA32" i="10"/>
  <c r="AV32" i="10"/>
  <c r="AW32" i="10" s="1"/>
  <c r="AZ11" i="8"/>
  <c r="AY11" i="8"/>
  <c r="BD11" i="8" s="1"/>
  <c r="BA8" i="10"/>
  <c r="AV8" i="10"/>
  <c r="AW8" i="10" s="1"/>
  <c r="AY17" i="8"/>
  <c r="AZ17" i="8"/>
  <c r="BA7" i="9"/>
  <c r="AV7" i="9"/>
  <c r="AW7" i="9" s="1"/>
  <c r="AY10" i="8"/>
  <c r="AZ10" i="8"/>
  <c r="BA17" i="10"/>
  <c r="AV17" i="10"/>
  <c r="AW17" i="10" s="1"/>
  <c r="BA19" i="9"/>
  <c r="AV19" i="9"/>
  <c r="AW19" i="9" s="1"/>
  <c r="AY15" i="8"/>
  <c r="AZ15" i="8"/>
  <c r="BA9" i="9"/>
  <c r="AV9" i="9"/>
  <c r="AW9" i="9" s="1"/>
  <c r="AV27" i="10"/>
  <c r="AW27" i="10" s="1"/>
  <c r="BA27" i="10"/>
  <c r="BA14" i="9"/>
  <c r="AV14" i="9"/>
  <c r="AW14" i="9" s="1"/>
  <c r="AV29" i="10"/>
  <c r="AW29" i="10" s="1"/>
  <c r="BA29" i="10"/>
  <c r="BA22" i="10"/>
  <c r="AV22" i="10"/>
  <c r="AW22" i="10" s="1"/>
  <c r="AV35" i="9"/>
  <c r="AW35" i="9" s="1"/>
  <c r="BA35" i="9"/>
  <c r="BA11" i="10"/>
  <c r="AV11" i="10"/>
  <c r="AW11" i="10" s="1"/>
  <c r="AZ25" i="9"/>
  <c r="AY25" i="9"/>
  <c r="AY16" i="8"/>
  <c r="AZ16" i="8"/>
  <c r="BA31" i="9"/>
  <c r="AV31" i="9"/>
  <c r="AW31" i="9" s="1"/>
  <c r="BA15" i="10"/>
  <c r="AV15" i="10"/>
  <c r="AW15" i="10" s="1"/>
  <c r="BA16" i="10"/>
  <c r="AV16" i="10"/>
  <c r="AW16" i="10" s="1"/>
  <c r="AZ26" i="8"/>
  <c r="AY26" i="8"/>
  <c r="BD26" i="8" s="1"/>
  <c r="BA26" i="9"/>
  <c r="AV26" i="9"/>
  <c r="AW26" i="9" s="1"/>
  <c r="BA21" i="10"/>
  <c r="AV21" i="10"/>
  <c r="AW21" i="10" s="1"/>
  <c r="BA33" i="9"/>
  <c r="AV33" i="9"/>
  <c r="AW33" i="9" s="1"/>
  <c r="AV32" i="9"/>
  <c r="AW32" i="9" s="1"/>
  <c r="BA32" i="9"/>
  <c r="AZ30" i="8"/>
  <c r="AY30" i="8"/>
  <c r="BA20" i="10"/>
  <c r="AV20" i="10"/>
  <c r="AW20" i="10" s="1"/>
  <c r="AV35" i="10"/>
  <c r="AW35" i="10" s="1"/>
  <c r="BA35" i="10"/>
  <c r="AZ25" i="8"/>
  <c r="AY25" i="8"/>
  <c r="BD25" i="8" s="1"/>
  <c r="BA26" i="10"/>
  <c r="AV26" i="10"/>
  <c r="AW26" i="10" s="1"/>
  <c r="AY9" i="8"/>
  <c r="AZ9" i="8"/>
  <c r="BA18" i="9"/>
  <c r="AV18" i="9"/>
  <c r="AW18" i="9" s="1"/>
  <c r="AZ31" i="8"/>
  <c r="AY31" i="8"/>
  <c r="BD31" i="8" s="1"/>
  <c r="AV19" i="10"/>
  <c r="AW19" i="10" s="1"/>
  <c r="BA19" i="10"/>
  <c r="BA16" i="9"/>
  <c r="AV16" i="9"/>
  <c r="AW16" i="9" s="1"/>
  <c r="AY28" i="8"/>
  <c r="AZ28" i="8"/>
  <c r="AV6" i="8"/>
  <c r="AW6" i="8" s="1"/>
  <c r="AY6" i="8" s="1"/>
  <c r="BA6" i="10"/>
  <c r="AW6" i="10"/>
  <c r="BA6" i="9"/>
  <c r="AV6" i="9"/>
  <c r="AW6" i="9" s="1"/>
  <c r="AS6" i="5"/>
  <c r="D2" i="3"/>
  <c r="BD30" i="8" l="1"/>
  <c r="BD25" i="9"/>
  <c r="BD9" i="8"/>
  <c r="BD20" i="8"/>
  <c r="BD8" i="8"/>
  <c r="BD17" i="8"/>
  <c r="BD36" i="8"/>
  <c r="BD33" i="8"/>
  <c r="BD23" i="8"/>
  <c r="BD22" i="8"/>
  <c r="BD16" i="8"/>
  <c r="BD18" i="8"/>
  <c r="BD28" i="8"/>
  <c r="BD19" i="8"/>
  <c r="BD13" i="8"/>
  <c r="BD29" i="8"/>
  <c r="BD24" i="8"/>
  <c r="BD32" i="8"/>
  <c r="BD14" i="8"/>
  <c r="BD10" i="8"/>
  <c r="BD12" i="8"/>
  <c r="BD15" i="8"/>
  <c r="AZ22" i="10"/>
  <c r="AY22" i="10"/>
  <c r="BD22" i="10" s="1"/>
  <c r="AY19" i="9"/>
  <c r="AZ19" i="9"/>
  <c r="AY24" i="10"/>
  <c r="BD24" i="10" s="1"/>
  <c r="AZ24" i="10"/>
  <c r="AZ29" i="9"/>
  <c r="AY29" i="9"/>
  <c r="AY21" i="9"/>
  <c r="AZ21" i="9"/>
  <c r="BA13" i="5"/>
  <c r="AV13" i="5"/>
  <c r="AW13" i="5" s="1"/>
  <c r="BA16" i="5"/>
  <c r="AV16" i="5"/>
  <c r="AW16" i="5" s="1"/>
  <c r="BA15" i="5"/>
  <c r="AV15" i="5"/>
  <c r="AW15" i="5" s="1"/>
  <c r="BA14" i="5"/>
  <c r="AV14" i="5"/>
  <c r="AW14" i="5" s="1"/>
  <c r="BA7" i="5"/>
  <c r="AV7" i="5"/>
  <c r="AW7" i="5" s="1"/>
  <c r="BA12" i="5"/>
  <c r="AV12" i="5"/>
  <c r="AW12" i="5" s="1"/>
  <c r="AV34" i="5"/>
  <c r="AW34" i="5" s="1"/>
  <c r="BA34" i="5"/>
  <c r="AV31" i="5"/>
  <c r="AW31" i="5" s="1"/>
  <c r="BA31" i="5"/>
  <c r="AY36" i="10"/>
  <c r="BD36" i="10" s="1"/>
  <c r="AZ36" i="10"/>
  <c r="AZ17" i="9"/>
  <c r="AY17" i="9"/>
  <c r="AZ12" i="9"/>
  <c r="AY12" i="9"/>
  <c r="AY30" i="10"/>
  <c r="BD30" i="10" s="1"/>
  <c r="AZ30" i="10"/>
  <c r="AY34" i="10"/>
  <c r="BD34" i="10" s="1"/>
  <c r="AZ34" i="10"/>
  <c r="AY28" i="9"/>
  <c r="AZ28" i="9"/>
  <c r="AZ16" i="9"/>
  <c r="AY16" i="9"/>
  <c r="AZ20" i="10"/>
  <c r="AY20" i="10"/>
  <c r="BD20" i="10" s="1"/>
  <c r="AZ15" i="10"/>
  <c r="AY15" i="10"/>
  <c r="BD15" i="10" s="1"/>
  <c r="AZ14" i="9"/>
  <c r="AY14" i="9"/>
  <c r="AY30" i="9"/>
  <c r="AZ30" i="9"/>
  <c r="AZ10" i="10"/>
  <c r="AY10" i="10"/>
  <c r="BD10" i="10" s="1"/>
  <c r="AZ14" i="10"/>
  <c r="AY14" i="10"/>
  <c r="BD14" i="10" s="1"/>
  <c r="AY36" i="9"/>
  <c r="AZ36" i="9"/>
  <c r="AV36" i="5"/>
  <c r="AW36" i="5" s="1"/>
  <c r="BA36" i="5"/>
  <c r="AV33" i="5"/>
  <c r="AW33" i="5" s="1"/>
  <c r="BA33" i="5"/>
  <c r="BA9" i="5"/>
  <c r="AV9" i="5"/>
  <c r="AW9" i="5" s="1"/>
  <c r="AV35" i="5"/>
  <c r="AW35" i="5" s="1"/>
  <c r="BA35" i="5"/>
  <c r="BA17" i="5"/>
  <c r="AV17" i="5"/>
  <c r="AW17" i="5" s="1"/>
  <c r="BA20" i="5"/>
  <c r="AV20" i="5"/>
  <c r="AW20" i="5" s="1"/>
  <c r="AV26" i="5"/>
  <c r="AW26" i="5" s="1"/>
  <c r="BA26" i="5"/>
  <c r="AV23" i="5"/>
  <c r="AW23" i="5" s="1"/>
  <c r="BA23" i="5"/>
  <c r="AZ23" i="9"/>
  <c r="AY23" i="9"/>
  <c r="AZ9" i="9"/>
  <c r="AY9" i="9"/>
  <c r="AZ32" i="9"/>
  <c r="AY32" i="9"/>
  <c r="AY23" i="10"/>
  <c r="BD23" i="10" s="1"/>
  <c r="AZ23" i="10"/>
  <c r="AZ18" i="9"/>
  <c r="AY18" i="9"/>
  <c r="AZ26" i="10"/>
  <c r="AY26" i="10"/>
  <c r="BD26" i="10" s="1"/>
  <c r="AY33" i="9"/>
  <c r="AZ33" i="9"/>
  <c r="AY26" i="9"/>
  <c r="AZ26" i="9"/>
  <c r="AZ16" i="10"/>
  <c r="AY16" i="10"/>
  <c r="BD16" i="10" s="1"/>
  <c r="AY31" i="9"/>
  <c r="AZ31" i="9"/>
  <c r="AY17" i="10"/>
  <c r="BD17" i="10" s="1"/>
  <c r="AZ17" i="10"/>
  <c r="AZ7" i="9"/>
  <c r="AY7" i="9"/>
  <c r="AY8" i="10"/>
  <c r="BD8" i="10" s="1"/>
  <c r="AZ8" i="10"/>
  <c r="AY32" i="10"/>
  <c r="BD32" i="10" s="1"/>
  <c r="AZ32" i="10"/>
  <c r="AZ12" i="10"/>
  <c r="AY12" i="10"/>
  <c r="BD12" i="10" s="1"/>
  <c r="AY20" i="9"/>
  <c r="AZ20" i="9"/>
  <c r="AZ15" i="9"/>
  <c r="AY15" i="9"/>
  <c r="AY28" i="10"/>
  <c r="BD28" i="10" s="1"/>
  <c r="AZ28" i="10"/>
  <c r="AY11" i="9"/>
  <c r="AZ11" i="9"/>
  <c r="AZ10" i="9"/>
  <c r="AY10" i="9"/>
  <c r="AV28" i="5"/>
  <c r="AW28" i="5" s="1"/>
  <c r="BA28" i="5"/>
  <c r="AV25" i="5"/>
  <c r="AW25" i="5" s="1"/>
  <c r="BA25" i="5"/>
  <c r="AV30" i="5"/>
  <c r="AW30" i="5" s="1"/>
  <c r="BA30" i="5"/>
  <c r="AV27" i="5"/>
  <c r="AW27" i="5" s="1"/>
  <c r="BA27" i="5"/>
  <c r="AV32" i="5"/>
  <c r="AW32" i="5" s="1"/>
  <c r="BA32" i="5"/>
  <c r="AV29" i="5"/>
  <c r="AW29" i="5" s="1"/>
  <c r="BA29" i="5"/>
  <c r="BA10" i="5"/>
  <c r="AV10" i="5"/>
  <c r="AW10" i="5" s="1"/>
  <c r="AY8" i="9"/>
  <c r="AZ8" i="9"/>
  <c r="AY34" i="9"/>
  <c r="AZ34" i="9"/>
  <c r="AZ7" i="10"/>
  <c r="AY7" i="10"/>
  <c r="BD7" i="10" s="1"/>
  <c r="AY13" i="10"/>
  <c r="BD13" i="10" s="1"/>
  <c r="AZ13" i="10"/>
  <c r="AZ13" i="9"/>
  <c r="AY13" i="9"/>
  <c r="AY22" i="9"/>
  <c r="AZ22" i="9"/>
  <c r="AZ21" i="10"/>
  <c r="AY21" i="10"/>
  <c r="BD21" i="10" s="1"/>
  <c r="AY11" i="10"/>
  <c r="BD11" i="10" s="1"/>
  <c r="AZ11" i="10"/>
  <c r="AY9" i="10"/>
  <c r="BD9" i="10" s="1"/>
  <c r="AZ9" i="10"/>
  <c r="AZ19" i="10"/>
  <c r="AY19" i="10"/>
  <c r="BD19" i="10" s="1"/>
  <c r="AY35" i="10"/>
  <c r="BD35" i="10" s="1"/>
  <c r="AZ35" i="10"/>
  <c r="AZ35" i="9"/>
  <c r="AY35" i="9"/>
  <c r="AY29" i="10"/>
  <c r="BD29" i="10" s="1"/>
  <c r="AZ29" i="10"/>
  <c r="AZ27" i="10"/>
  <c r="AY27" i="10"/>
  <c r="BD27" i="10" s="1"/>
  <c r="AY33" i="10"/>
  <c r="BD33" i="10" s="1"/>
  <c r="AZ33" i="10"/>
  <c r="AY27" i="9"/>
  <c r="AZ27" i="9"/>
  <c r="BA8" i="5"/>
  <c r="AV8" i="5"/>
  <c r="AW8" i="5" s="1"/>
  <c r="BA19" i="5"/>
  <c r="AV19" i="5"/>
  <c r="AW19" i="5" s="1"/>
  <c r="AV22" i="5"/>
  <c r="AW22" i="5" s="1"/>
  <c r="BA22" i="5"/>
  <c r="BA21" i="5"/>
  <c r="AV21" i="5"/>
  <c r="AW21" i="5" s="1"/>
  <c r="AV24" i="5"/>
  <c r="AW24" i="5" s="1"/>
  <c r="BA24" i="5"/>
  <c r="BA11" i="5"/>
  <c r="AV11" i="5"/>
  <c r="AW11" i="5" s="1"/>
  <c r="BA18" i="5"/>
  <c r="AV18" i="5"/>
  <c r="AW18" i="5" s="1"/>
  <c r="AY31" i="10"/>
  <c r="BD31" i="10" s="1"/>
  <c r="AZ31" i="10"/>
  <c r="AZ18" i="10"/>
  <c r="AY18" i="10"/>
  <c r="BD18" i="10" s="1"/>
  <c r="AY24" i="9"/>
  <c r="AZ24" i="9"/>
  <c r="AZ6" i="8"/>
  <c r="BD6" i="8" s="1"/>
  <c r="AY6" i="10"/>
  <c r="AZ6" i="10"/>
  <c r="AZ6" i="9"/>
  <c r="AY6" i="9"/>
  <c r="AV6" i="5"/>
  <c r="BA6" i="5"/>
  <c r="AL4" i="3"/>
  <c r="K4" i="3"/>
  <c r="S4" i="3"/>
  <c r="AA4" i="3"/>
  <c r="H4" i="3"/>
  <c r="P4" i="3"/>
  <c r="T4" i="3"/>
  <c r="X4" i="3"/>
  <c r="AB4" i="3"/>
  <c r="AF4" i="3"/>
  <c r="AJ4" i="3"/>
  <c r="O4" i="3"/>
  <c r="W4" i="3"/>
  <c r="AE4" i="3"/>
  <c r="AI4" i="3"/>
  <c r="L4" i="3"/>
  <c r="I4" i="3"/>
  <c r="M4" i="3"/>
  <c r="Q4" i="3"/>
  <c r="U4" i="3"/>
  <c r="Y4" i="3"/>
  <c r="AC4" i="3"/>
  <c r="AG4" i="3"/>
  <c r="AK4" i="3"/>
  <c r="J4" i="3"/>
  <c r="N4" i="3"/>
  <c r="R4" i="3"/>
  <c r="V4" i="3"/>
  <c r="Z4" i="3"/>
  <c r="AD4" i="3"/>
  <c r="AH4" i="3"/>
  <c r="BD10" i="9" l="1"/>
  <c r="BD7" i="9"/>
  <c r="BD32" i="9"/>
  <c r="BD15" i="9"/>
  <c r="BD18" i="9"/>
  <c r="BD23" i="9"/>
  <c r="BD16" i="9"/>
  <c r="BD12" i="9"/>
  <c r="BD35" i="9"/>
  <c r="BD22" i="9"/>
  <c r="BD9" i="9"/>
  <c r="BD13" i="9"/>
  <c r="BD14" i="9"/>
  <c r="BD17" i="9"/>
  <c r="BD6" i="9"/>
  <c r="BD29" i="9"/>
  <c r="BD34" i="9"/>
  <c r="BD30" i="9"/>
  <c r="BD26" i="9"/>
  <c r="BD28" i="9"/>
  <c r="BD11" i="9"/>
  <c r="BD33" i="9"/>
  <c r="BD19" i="9"/>
  <c r="BD24" i="9"/>
  <c r="BD8" i="9"/>
  <c r="BD36" i="9"/>
  <c r="BD20" i="9"/>
  <c r="BD27" i="9"/>
  <c r="BD31" i="9"/>
  <c r="BD21" i="9"/>
  <c r="AZ11" i="5"/>
  <c r="AY11" i="5"/>
  <c r="AY21" i="5"/>
  <c r="AZ21" i="5"/>
  <c r="AY19" i="5"/>
  <c r="AZ19" i="5"/>
  <c r="AZ10" i="5"/>
  <c r="AY10" i="5"/>
  <c r="AY17" i="5"/>
  <c r="AZ17" i="5"/>
  <c r="AZ9" i="5"/>
  <c r="AY9" i="5"/>
  <c r="AZ7" i="5"/>
  <c r="AY7" i="5"/>
  <c r="AZ15" i="5"/>
  <c r="AY15" i="5"/>
  <c r="AY13" i="5"/>
  <c r="AZ13" i="5"/>
  <c r="AZ32" i="5"/>
  <c r="AY32" i="5"/>
  <c r="BD32" i="5" s="1"/>
  <c r="AY30" i="5"/>
  <c r="AZ30" i="5"/>
  <c r="AZ28" i="5"/>
  <c r="AY28" i="5"/>
  <c r="AZ26" i="5"/>
  <c r="AY26" i="5"/>
  <c r="AZ36" i="5"/>
  <c r="AY36" i="5"/>
  <c r="BD36" i="5" s="1"/>
  <c r="AZ34" i="5"/>
  <c r="AY34" i="5"/>
  <c r="AY18" i="5"/>
  <c r="AZ18" i="5"/>
  <c r="AY8" i="5"/>
  <c r="AZ8" i="5"/>
  <c r="AY20" i="5"/>
  <c r="AZ20" i="5"/>
  <c r="AY12" i="5"/>
  <c r="AZ12" i="5"/>
  <c r="AZ14" i="5"/>
  <c r="AY14" i="5"/>
  <c r="AZ16" i="5"/>
  <c r="AY16" i="5"/>
  <c r="AZ24" i="5"/>
  <c r="AY24" i="5"/>
  <c r="BD24" i="5" s="1"/>
  <c r="AY22" i="5"/>
  <c r="AZ22" i="5"/>
  <c r="AZ29" i="5"/>
  <c r="AY29" i="5"/>
  <c r="AZ27" i="5"/>
  <c r="AY27" i="5"/>
  <c r="AY25" i="5"/>
  <c r="AZ25" i="5"/>
  <c r="AZ23" i="5"/>
  <c r="AY23" i="5"/>
  <c r="AZ35" i="5"/>
  <c r="AY35" i="5"/>
  <c r="AY33" i="5"/>
  <c r="AZ33" i="5"/>
  <c r="AZ31" i="5"/>
  <c r="AY31" i="5"/>
  <c r="BD31" i="5" s="1"/>
  <c r="BD6" i="10"/>
  <c r="AW6" i="5"/>
  <c r="AZ6" i="5" s="1"/>
  <c r="Y6" i="3"/>
  <c r="H6" i="3"/>
  <c r="AL5" i="3"/>
  <c r="AL6" i="3"/>
  <c r="AD6" i="3"/>
  <c r="N6" i="3"/>
  <c r="AC6" i="3"/>
  <c r="M6" i="3"/>
  <c r="AE6" i="3"/>
  <c r="AF6" i="3"/>
  <c r="P6" i="3"/>
  <c r="K6" i="3"/>
  <c r="J6" i="3"/>
  <c r="V6" i="3"/>
  <c r="AK6" i="3"/>
  <c r="U6" i="3"/>
  <c r="L6" i="3"/>
  <c r="O6" i="3"/>
  <c r="X6" i="3"/>
  <c r="AA6" i="3"/>
  <c r="Z6" i="3"/>
  <c r="I6" i="3"/>
  <c r="W6" i="3"/>
  <c r="AB6" i="3"/>
  <c r="AH6" i="3"/>
  <c r="R6" i="3"/>
  <c r="AG6" i="3"/>
  <c r="Q6" i="3"/>
  <c r="AI6" i="3"/>
  <c r="AJ6" i="3"/>
  <c r="T6" i="3"/>
  <c r="S6" i="3"/>
  <c r="J5" i="3"/>
  <c r="W5" i="3"/>
  <c r="V5" i="3"/>
  <c r="U5" i="3"/>
  <c r="O5" i="3"/>
  <c r="AA5" i="3"/>
  <c r="AG5" i="3"/>
  <c r="AI5" i="3"/>
  <c r="AJ5" i="3"/>
  <c r="T5" i="3"/>
  <c r="S5" i="3"/>
  <c r="Z5" i="3"/>
  <c r="Y5" i="3"/>
  <c r="I5" i="3"/>
  <c r="AB5" i="3"/>
  <c r="H5" i="3"/>
  <c r="AK5" i="3"/>
  <c r="L5" i="3"/>
  <c r="X5" i="3"/>
  <c r="AH5" i="3"/>
  <c r="R5" i="3"/>
  <c r="Q5" i="3"/>
  <c r="AD5" i="3"/>
  <c r="N5" i="3"/>
  <c r="AC5" i="3"/>
  <c r="M5" i="3"/>
  <c r="AE5" i="3"/>
  <c r="AF5" i="3"/>
  <c r="P5" i="3"/>
  <c r="K5" i="3"/>
  <c r="BD9" i="5" l="1"/>
  <c r="BD8" i="5"/>
  <c r="BD13" i="5"/>
  <c r="BD35" i="5"/>
  <c r="BD29" i="5"/>
  <c r="BD14" i="5"/>
  <c r="BD28" i="5"/>
  <c r="BD15" i="5"/>
  <c r="BD10" i="5"/>
  <c r="BD22" i="5"/>
  <c r="BD30" i="5"/>
  <c r="BD19" i="5"/>
  <c r="BD12" i="5"/>
  <c r="BD11" i="5"/>
  <c r="BD18" i="5"/>
  <c r="BD23" i="5"/>
  <c r="BD34" i="5"/>
  <c r="BD7" i="5"/>
  <c r="BD25" i="5"/>
  <c r="BD20" i="5"/>
  <c r="BD21" i="5"/>
  <c r="BD27" i="5"/>
  <c r="BD16" i="5"/>
  <c r="BD26" i="5"/>
  <c r="BD33" i="5"/>
  <c r="BD17" i="5"/>
  <c r="AS41" i="3"/>
  <c r="AS33" i="3"/>
  <c r="AS47" i="3"/>
  <c r="AS35" i="3"/>
  <c r="AS65" i="3"/>
  <c r="AS61" i="3"/>
  <c r="AS57" i="3"/>
  <c r="AS53" i="3"/>
  <c r="AS49" i="3"/>
  <c r="AS45" i="3"/>
  <c r="AS37" i="3"/>
  <c r="AS29" i="3"/>
  <c r="AS25" i="3"/>
  <c r="AS51" i="3"/>
  <c r="AS31" i="3"/>
  <c r="AS23" i="3"/>
  <c r="AS67" i="3"/>
  <c r="AS63" i="3"/>
  <c r="AS59" i="3"/>
  <c r="AS55" i="3"/>
  <c r="AS43" i="3"/>
  <c r="AS39" i="3"/>
  <c r="AS27" i="3"/>
  <c r="AR67" i="3"/>
  <c r="AR63" i="3"/>
  <c r="AR59" i="3"/>
  <c r="AR55" i="3"/>
  <c r="AR51" i="3"/>
  <c r="AR47" i="3"/>
  <c r="AR43" i="3"/>
  <c r="AR39" i="3"/>
  <c r="AR35" i="3"/>
  <c r="AR31" i="3"/>
  <c r="AR27" i="3"/>
  <c r="AR23" i="3"/>
  <c r="AQ59" i="3"/>
  <c r="AQ55" i="3"/>
  <c r="AQ51" i="3"/>
  <c r="AQ47" i="3"/>
  <c r="AQ43" i="3"/>
  <c r="AQ31" i="3"/>
  <c r="AQ27" i="3"/>
  <c r="AQ23" i="3"/>
  <c r="AQ41" i="3"/>
  <c r="AQ29" i="3"/>
  <c r="AQ25" i="3"/>
  <c r="AQ67" i="3"/>
  <c r="AQ63" i="3"/>
  <c r="AQ39" i="3"/>
  <c r="AQ35" i="3"/>
  <c r="AQ45" i="3"/>
  <c r="AQ37" i="3"/>
  <c r="AR65" i="3"/>
  <c r="AR61" i="3"/>
  <c r="AR57" i="3"/>
  <c r="AR53" i="3"/>
  <c r="AR49" i="3"/>
  <c r="AR45" i="3"/>
  <c r="AR41" i="3"/>
  <c r="AR37" i="3"/>
  <c r="AR33" i="3"/>
  <c r="AR29" i="3"/>
  <c r="AR25" i="3"/>
  <c r="AQ65" i="3"/>
  <c r="AQ61" i="3"/>
  <c r="AQ57" i="3"/>
  <c r="AQ53" i="3"/>
  <c r="AQ49" i="3"/>
  <c r="AQ33" i="3"/>
  <c r="AY6" i="5"/>
  <c r="BD6" i="5" s="1"/>
  <c r="AR19" i="3"/>
  <c r="AR13" i="3"/>
  <c r="AQ17" i="3"/>
  <c r="AQ9" i="3"/>
  <c r="AQ7" i="3"/>
  <c r="AR21" i="3"/>
  <c r="AQ19" i="3"/>
  <c r="AR11" i="3"/>
  <c r="AQ15" i="3"/>
  <c r="AQ11" i="3"/>
  <c r="AQ21" i="3"/>
  <c r="AR17" i="3"/>
  <c r="AR9" i="3"/>
  <c r="AQ13" i="3"/>
  <c r="AR15" i="3"/>
  <c r="AR7" i="3"/>
  <c r="AS21" i="3"/>
  <c r="AS19" i="3"/>
  <c r="AS17" i="3"/>
  <c r="AS15" i="3"/>
  <c r="AS9" i="3"/>
  <c r="AS7" i="3"/>
  <c r="AS11" i="3"/>
  <c r="AS13" i="3"/>
  <c r="AW61" i="3" l="1"/>
  <c r="AW43" i="3"/>
  <c r="AW65" i="3"/>
  <c r="AW47" i="3"/>
  <c r="AW63" i="3"/>
  <c r="AW49" i="3"/>
  <c r="AW59" i="3"/>
  <c r="AW31" i="3"/>
  <c r="AW57" i="3"/>
  <c r="AW67" i="3"/>
  <c r="AW51" i="3"/>
  <c r="AW55" i="3"/>
  <c r="AW37" i="3"/>
  <c r="AW23" i="3"/>
  <c r="AW29" i="3"/>
  <c r="AW35" i="3"/>
  <c r="AW53" i="3"/>
  <c r="AW45" i="3"/>
  <c r="AW39" i="3"/>
  <c r="AW25" i="3"/>
  <c r="AW27" i="3"/>
  <c r="AW33" i="3"/>
  <c r="AW41" i="3"/>
  <c r="AW21" i="3"/>
  <c r="AW13" i="3"/>
  <c r="AW19" i="3"/>
  <c r="AW9" i="3"/>
  <c r="AW7" i="3"/>
  <c r="AW11" i="3"/>
  <c r="AW17" i="3"/>
  <c r="AW15"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<sst xmlns="http://schemas.openxmlformats.org/spreadsheetml/2006/main" count="1104" uniqueCount="161">
  <si>
    <t>第一步 | Step 1</t>
  </si>
  <si>
    <t>于"Menu"界面，根据实习生类型“点击”相应表格。</t>
  </si>
  <si>
    <t>Under "Menu", please select the form according to type of intern.</t>
  </si>
  <si>
    <t>第二步 | Step 2</t>
  </si>
  <si>
    <t>2.1 办公室实习生 | Office Intern</t>
  </si>
  <si>
    <t>2.2 生产部实习生 | Production Intern</t>
  </si>
  <si>
    <t>请在C2格子的下拉框内，选择您的出勤月份</t>
  </si>
  <si>
    <t>1. 请在C2格子的下拉框内，选择您的出勤月份</t>
  </si>
  <si>
    <t>Please select your attendance month from cell-C2 drop down list</t>
  </si>
  <si>
    <t>1. Please select your attendance month from cell-C2 drop down list</t>
  </si>
  <si>
    <t>第三步 | Step 3</t>
  </si>
  <si>
    <t>i. 请确保"数字1"部分显示出勤的整月日期。</t>
  </si>
  <si>
    <t>i. Please ensure date of attendance month is shown under area marked as Number 1.</t>
  </si>
  <si>
    <t>ii. 请填写"数字2"部分的三个必填项。</t>
  </si>
  <si>
    <t>ii. Please fill in data for 3 mandatory field under area marked as Number 2.</t>
  </si>
  <si>
    <t>iii. 请根据您的实际出勤填写"数字3"部分的出勤数据。</t>
  </si>
  <si>
    <t>iii. 请根据您的实际出勤填写"数字3"和"数字4"部分的出勤数据。</t>
  </si>
  <si>
    <r>
      <t xml:space="preserve">      如果您只是上了半天班，请在AM（上午）</t>
    </r>
    <r>
      <rPr>
        <b/>
        <u/>
        <sz val="11"/>
        <rFont val="Calibri"/>
        <family val="2"/>
        <scheme val="minor"/>
      </rPr>
      <t>或</t>
    </r>
    <r>
      <rPr>
        <sz val="11"/>
        <rFont val="Calibri"/>
        <family val="2"/>
        <scheme val="minor"/>
      </rPr>
      <t>PM（下午）的格子内填写”1“。具体例子，请参考下图X列或AB列</t>
    </r>
  </si>
  <si>
    <t>iii. Please fill in data based on your actual attendance under area marked as Number 3 &amp; Number 4.</t>
  </si>
  <si>
    <r>
      <t xml:space="preserve">      如果您上了全日班，请在AM（上午）</t>
    </r>
    <r>
      <rPr>
        <b/>
        <u/>
        <sz val="11"/>
        <rFont val="Calibri"/>
        <family val="2"/>
        <scheme val="minor"/>
      </rPr>
      <t>和</t>
    </r>
    <r>
      <rPr>
        <sz val="11"/>
        <rFont val="Calibri"/>
        <family val="2"/>
        <scheme val="minor"/>
      </rPr>
      <t>PM（下午）的格子内填写”1“。具体例子，请参考下图W列</t>
    </r>
  </si>
  <si>
    <t>iv. 不同公司对应的出勤代码不一样，请确保您选择了正确的模板</t>
  </si>
  <si>
    <t>iii. Please fill in data based on your actual attendance under area marked as Number 3.</t>
  </si>
  <si>
    <t>iv. Different code is used by different company, please ensure you are selecting the correct template</t>
  </si>
  <si>
    <r>
      <t xml:space="preserve">      Please input ”1“ under cell of AM (Morning) </t>
    </r>
    <r>
      <rPr>
        <b/>
        <u/>
        <sz val="11"/>
        <rFont val="Calibri"/>
        <family val="2"/>
        <scheme val="minor"/>
      </rPr>
      <t>OR</t>
    </r>
    <r>
      <rPr>
        <sz val="11"/>
        <rFont val="Calibri"/>
        <family val="2"/>
        <scheme val="minor"/>
      </rPr>
      <t xml:space="preserve"> PM (Afternoon) if you work for half day only. Please refer the sample via column X or column AB from below picture.</t>
    </r>
  </si>
  <si>
    <r>
      <t xml:space="preserve">      Please input ”1“ under cell of AM (Morning) </t>
    </r>
    <r>
      <rPr>
        <b/>
        <u/>
        <sz val="11"/>
        <rFont val="Calibri"/>
        <family val="2"/>
        <scheme val="minor"/>
      </rPr>
      <t>AND</t>
    </r>
    <r>
      <rPr>
        <sz val="11"/>
        <rFont val="Calibri"/>
        <family val="2"/>
        <scheme val="minor"/>
      </rPr>
      <t xml:space="preserve"> PM (Afternoon) if you work for full day.  Please refer the sample via column W from below picture.</t>
    </r>
  </si>
  <si>
    <t>iv. 请根据您的实际出勤填写"数字4"部分的额外加班小时数。</t>
  </si>
  <si>
    <t xml:space="preserve">iv. Please fill in additional overtime hours based on your actual attendance under area marked as Number 4. </t>
  </si>
  <si>
    <t>第四步 | Step 4</t>
  </si>
  <si>
    <t>在确认数据无误以后，请透过邮件将相关表格发给您的上司审批。请提醒您的上司在每月的十号之前透过邮件将表格转给相关的人力资源部同事。人力资源部同事将确认日工资及更新住房津贴（如适用），之后他们将把表格提交至人力资源服务平台进行工资计算。</t>
  </si>
  <si>
    <t>Please ensure all data is input correctly and send the form for your manager's approval via email. Please remind your manager to the form via email to HR colleague before 10th of the month. HR colleague will review the day pay and update housing allowance (if applicable), after that they will submit the form to HR service desk for payroll processing</t>
  </si>
  <si>
    <t>注意 | Important Notes：</t>
  </si>
  <si>
    <t>1）请自行跟进上司的审批。</t>
  </si>
  <si>
    <t>2）请确保出勤月份和必填项（员工号，员工姓名，日工资）的正确性。</t>
  </si>
  <si>
    <t>3）请勿在同一张表格内填写不同月份的出勤数据。</t>
  </si>
  <si>
    <t>4）请勿错误使用表格，办公室实习生应当使用办公室模板，而生产部实习生应当使用对应公司的生产部模板。</t>
  </si>
  <si>
    <t>5）请勿同一张表格内使用2个以上的不同模板。如果有此需求，请填写另一张全新的表格。</t>
  </si>
  <si>
    <t>1）Please follow up manager's approval by yourselve.</t>
  </si>
  <si>
    <t>2）Please ensure attendance month and mandatory field（Employee Number，Employee Name，Day Pay）is input correctly</t>
  </si>
  <si>
    <t>3）Do not update attendance data of different month under 1 single form。</t>
  </si>
  <si>
    <t>4）Do not use incorrect form, office intern should only use office template.</t>
  </si>
  <si>
    <t>5）Do not use 2 different template in 1 form. If it's necessary, please update in another brand new form.</t>
  </si>
  <si>
    <t>第五步 | Step 5</t>
  </si>
  <si>
    <t>请开始填表 ------------------------------------------------------------&gt;</t>
  </si>
  <si>
    <t>点我</t>
  </si>
  <si>
    <t>You may start to fill in the form ----------------------------------&gt;</t>
  </si>
  <si>
    <t>Click Me</t>
  </si>
  <si>
    <t>Based on Type of Intern, please click on "Click Here" to link to form destination</t>
  </si>
  <si>
    <t>根据实习生类型，点击“请点击"以联系到有关表格位置</t>
  </si>
  <si>
    <t>实习生类型 | Type of Intern</t>
  </si>
  <si>
    <t>请选择 | Please Select</t>
  </si>
  <si>
    <t>Form Version</t>
  </si>
  <si>
    <t>办公室实习生 | Office Intern</t>
  </si>
  <si>
    <t>-----------------------------------------------------------------------------------------------&gt;</t>
  </si>
  <si>
    <t>请点击 | Click Here</t>
  </si>
  <si>
    <t>生产部实习生来自 | Production Intern from</t>
  </si>
  <si>
    <t>BACC - Shanghai</t>
  </si>
  <si>
    <t>--&gt;</t>
  </si>
  <si>
    <t>BACH - Shanghai</t>
  </si>
  <si>
    <t>BAPS - Shanghai</t>
  </si>
  <si>
    <t>BCCS - Shanghai</t>
  </si>
  <si>
    <t>BETC - Shanghai</t>
  </si>
  <si>
    <t>BIG - Zhanjiang</t>
  </si>
  <si>
    <t>BCSC - Shanghai</t>
  </si>
  <si>
    <t>注：标注星号＊为必填项 | Note：Please fill up all field  that indicated in asterik＊.</t>
  </si>
  <si>
    <t>出勤月份 *
Attendance Month</t>
  </si>
  <si>
    <t>Choose One</t>
  </si>
  <si>
    <r>
      <t>请确保您为</t>
    </r>
    <r>
      <rPr>
        <b/>
        <sz val="14"/>
        <color rgb="FFFF0000"/>
        <rFont val="Calibri"/>
        <family val="2"/>
        <scheme val="minor"/>
      </rPr>
      <t>办公室实习生</t>
    </r>
    <r>
      <rPr>
        <sz val="14"/>
        <rFont val="Calibri"/>
        <family val="2"/>
        <scheme val="minor"/>
      </rPr>
      <t xml:space="preserve">
Pease ensure you are </t>
    </r>
    <r>
      <rPr>
        <b/>
        <sz val="14"/>
        <color rgb="FFFF0000"/>
        <rFont val="Calibri"/>
        <family val="2"/>
        <scheme val="minor"/>
      </rPr>
      <t>office intern</t>
    </r>
  </si>
  <si>
    <t>序号
No.</t>
  </si>
  <si>
    <r>
      <t xml:space="preserve">员工号 </t>
    </r>
    <r>
      <rPr>
        <b/>
        <sz val="11"/>
        <color rgb="FFFF0000"/>
        <rFont val="Calibri"/>
        <family val="2"/>
        <scheme val="minor"/>
      </rPr>
      <t>*</t>
    </r>
    <r>
      <rPr>
        <b/>
        <sz val="11"/>
        <rFont val="Calibri"/>
        <family val="2"/>
        <scheme val="minor"/>
      </rPr>
      <t xml:space="preserve">
Employee Number</t>
    </r>
  </si>
  <si>
    <r>
      <t xml:space="preserve">员工姓名 </t>
    </r>
    <r>
      <rPr>
        <b/>
        <sz val="11"/>
        <color rgb="FFFF0000"/>
        <rFont val="Calibri"/>
        <family val="2"/>
        <scheme val="minor"/>
      </rPr>
      <t>*</t>
    </r>
    <r>
      <rPr>
        <b/>
        <sz val="11"/>
        <rFont val="Calibri"/>
        <family val="2"/>
        <scheme val="minor"/>
      </rPr>
      <t xml:space="preserve">
Employee Name</t>
    </r>
  </si>
  <si>
    <r>
      <t xml:space="preserve">日工资 (人民币) </t>
    </r>
    <r>
      <rPr>
        <b/>
        <sz val="11"/>
        <color rgb="FFFF0000"/>
        <rFont val="Calibri"/>
        <family val="2"/>
        <scheme val="minor"/>
      </rPr>
      <t>*</t>
    </r>
    <r>
      <rPr>
        <b/>
        <sz val="11"/>
        <rFont val="Calibri"/>
        <family val="2"/>
        <scheme val="minor"/>
      </rPr>
      <t xml:space="preserve">
Day Pay (RMB)</t>
    </r>
  </si>
  <si>
    <t>其他1
Other 1</t>
  </si>
  <si>
    <t>其他2
Other 2</t>
  </si>
  <si>
    <t>RH = 双休日</t>
  </si>
  <si>
    <t>额外加班（小时）
Additional Overtime (Hours)</t>
  </si>
  <si>
    <t>住房津贴
Housing Allowance</t>
  </si>
  <si>
    <t xml:space="preserve">总实际出勤率 (天)
Total Actual Attndance (Day)
</t>
  </si>
  <si>
    <t>额外加班工资
Payment for Additional Overtime</t>
  </si>
  <si>
    <t>税前总金额 (人民币)
Total Gross Amount to be paid (RMB)</t>
  </si>
  <si>
    <t>正常工作日额外加班小时数
Additonal OT in Normal Working day</t>
  </si>
  <si>
    <t>双休日额外加班小时数
Additonal OT in Weekend / Replacement Holiday</t>
  </si>
  <si>
    <t>法定假日额外加班小时数
Additonal OT in Public Holiday</t>
  </si>
  <si>
    <t>正常工作日
Normal Working day</t>
  </si>
  <si>
    <t>双休日
Weekend / Replacement Holiday</t>
  </si>
  <si>
    <t>法定假日
Public Holiday</t>
  </si>
  <si>
    <t>1.5x</t>
  </si>
  <si>
    <t>2.0x</t>
  </si>
  <si>
    <t>3.0x</t>
  </si>
  <si>
    <t>PH = 法定假日</t>
  </si>
  <si>
    <t>例子子</t>
  </si>
  <si>
    <t>AM</t>
  </si>
  <si>
    <t>PM</t>
  </si>
  <si>
    <t>请选择</t>
  </si>
  <si>
    <r>
      <t>此为BCSC - Shanghai模板，请确保您为</t>
    </r>
    <r>
      <rPr>
        <b/>
        <sz val="14"/>
        <color rgb="FFFF0000"/>
        <rFont val="Calibri"/>
        <family val="2"/>
        <scheme val="minor"/>
      </rPr>
      <t>BCSC - Shanghai生产部</t>
    </r>
    <r>
      <rPr>
        <sz val="14"/>
        <rFont val="Calibri"/>
        <family val="2"/>
        <scheme val="minor"/>
      </rPr>
      <t xml:space="preserve">实习生
This is BCSC - Shanghai template, please ensure you are </t>
    </r>
    <r>
      <rPr>
        <b/>
        <sz val="14"/>
        <color rgb="FFFF0000"/>
        <rFont val="Calibri"/>
        <family val="2"/>
        <scheme val="minor"/>
      </rPr>
      <t>production</t>
    </r>
    <r>
      <rPr>
        <sz val="14"/>
        <rFont val="Calibri"/>
        <family val="2"/>
        <scheme val="minor"/>
      </rPr>
      <t xml:space="preserve"> intern from </t>
    </r>
    <r>
      <rPr>
        <b/>
        <sz val="14"/>
        <color rgb="FFFF0000"/>
        <rFont val="Calibri"/>
        <family val="2"/>
        <scheme val="minor"/>
      </rPr>
      <t>BCSC - Shanghai</t>
    </r>
    <r>
      <rPr>
        <sz val="14"/>
        <rFont val="Calibri"/>
        <family val="2"/>
        <scheme val="minor"/>
      </rPr>
      <t>.</t>
    </r>
  </si>
  <si>
    <r>
      <t>日工资 (人民币)</t>
    </r>
    <r>
      <rPr>
        <b/>
        <sz val="11"/>
        <color rgb="FFFF0000"/>
        <rFont val="Calibri"/>
        <family val="2"/>
        <scheme val="minor"/>
      </rPr>
      <t xml:space="preserve"> *</t>
    </r>
    <r>
      <rPr>
        <b/>
        <sz val="11"/>
        <rFont val="Calibri"/>
        <family val="2"/>
        <scheme val="minor"/>
      </rPr>
      <t xml:space="preserve">
Day Pay (RMB)</t>
    </r>
  </si>
  <si>
    <t>日班
Morning Shift</t>
  </si>
  <si>
    <t>夜班
Night Shift</t>
  </si>
  <si>
    <t>常日
Day Shift</t>
  </si>
  <si>
    <t>法定假日
Statutory
Public Holiday</t>
  </si>
  <si>
    <t>不规则出勤小时平日
Irregular Working Hours in Weekday</t>
  </si>
  <si>
    <t>不规则出勤小时 
法定假日3.0X
Irregular Working Hours
Statutory Public Holiday 3.0X</t>
  </si>
  <si>
    <t>总工时 1.5X
Total Working Hours 1.5X</t>
  </si>
  <si>
    <t>实际出勤天数
Actual Working Days</t>
  </si>
  <si>
    <t>应出勤天数
Standard Working Days</t>
  </si>
  <si>
    <t>工资
Salary</t>
  </si>
  <si>
    <t>加班工资1.5X
Overtime 1.5X</t>
  </si>
  <si>
    <t>加班工资3.0X
Overtime 3.0X</t>
  </si>
  <si>
    <t>倒班津贴
Shift Allowance</t>
  </si>
  <si>
    <t>备注
Remarks</t>
  </si>
  <si>
    <t>Template of</t>
  </si>
  <si>
    <t>夜</t>
  </si>
  <si>
    <t>日</t>
  </si>
  <si>
    <t>常</t>
  </si>
  <si>
    <r>
      <t>此为BAEP模板，请确保您为</t>
    </r>
    <r>
      <rPr>
        <b/>
        <sz val="14"/>
        <color rgb="FFFF0000"/>
        <rFont val="Calibri"/>
        <family val="2"/>
        <scheme val="minor"/>
      </rPr>
      <t>BAEP生产部</t>
    </r>
    <r>
      <rPr>
        <sz val="14"/>
        <rFont val="Calibri"/>
        <family val="2"/>
        <scheme val="minor"/>
      </rPr>
      <t xml:space="preserve">实习生
This is BAEP template, please ensure you are </t>
    </r>
    <r>
      <rPr>
        <b/>
        <sz val="14"/>
        <color rgb="FFFF0000"/>
        <rFont val="Calibri"/>
        <family val="2"/>
        <scheme val="minor"/>
      </rPr>
      <t>production</t>
    </r>
    <r>
      <rPr>
        <sz val="14"/>
        <rFont val="Calibri"/>
        <family val="2"/>
        <scheme val="minor"/>
      </rPr>
      <t xml:space="preserve"> intern from </t>
    </r>
    <r>
      <rPr>
        <b/>
        <sz val="14"/>
        <color rgb="FFFF0000"/>
        <rFont val="Calibri"/>
        <family val="2"/>
        <scheme val="minor"/>
      </rPr>
      <t>BAEP</t>
    </r>
    <r>
      <rPr>
        <sz val="14"/>
        <rFont val="Calibri"/>
        <family val="2"/>
        <scheme val="minor"/>
      </rPr>
      <t>.</t>
    </r>
  </si>
  <si>
    <r>
      <t>此为</t>
    </r>
    <r>
      <rPr>
        <b/>
        <sz val="14"/>
        <color rgb="FFFF0000"/>
        <rFont val="Calibri"/>
        <family val="2"/>
        <scheme val="minor"/>
      </rPr>
      <t>BACH - Shanghai</t>
    </r>
    <r>
      <rPr>
        <sz val="14"/>
        <rFont val="Calibri"/>
        <family val="2"/>
        <scheme val="minor"/>
      </rPr>
      <t>模板，请确保您为</t>
    </r>
    <r>
      <rPr>
        <b/>
        <sz val="14"/>
        <color rgb="FFFF0000"/>
        <rFont val="Calibri"/>
        <family val="2"/>
        <scheme val="minor"/>
      </rPr>
      <t>BACH - Shanghai生产部</t>
    </r>
    <r>
      <rPr>
        <sz val="14"/>
        <rFont val="Calibri"/>
        <family val="2"/>
        <scheme val="minor"/>
      </rPr>
      <t xml:space="preserve">实习生
This is </t>
    </r>
    <r>
      <rPr>
        <b/>
        <sz val="14"/>
        <color rgb="FFFF0000"/>
        <rFont val="Calibri"/>
        <family val="2"/>
        <scheme val="minor"/>
      </rPr>
      <t>BACH - Shanghai</t>
    </r>
    <r>
      <rPr>
        <sz val="14"/>
        <rFont val="Calibri"/>
        <family val="2"/>
        <scheme val="minor"/>
      </rPr>
      <t xml:space="preserve">, please ensure you are </t>
    </r>
    <r>
      <rPr>
        <b/>
        <sz val="14"/>
        <color rgb="FFFF0000"/>
        <rFont val="Calibri"/>
        <family val="2"/>
        <scheme val="minor"/>
      </rPr>
      <t>production</t>
    </r>
    <r>
      <rPr>
        <sz val="14"/>
        <rFont val="Calibri"/>
        <family val="2"/>
        <scheme val="minor"/>
      </rPr>
      <t xml:space="preserve"> intern from </t>
    </r>
    <r>
      <rPr>
        <b/>
        <sz val="14"/>
        <color rgb="FFFF0000"/>
        <rFont val="Calibri"/>
        <family val="2"/>
        <scheme val="minor"/>
      </rPr>
      <t>BACH - Shanghai</t>
    </r>
    <r>
      <rPr>
        <sz val="14"/>
        <rFont val="Calibri"/>
        <family val="2"/>
        <scheme val="minor"/>
      </rPr>
      <t>.</t>
    </r>
  </si>
  <si>
    <t>早班
Morning Shift</t>
  </si>
  <si>
    <t>日班
Day Shift</t>
  </si>
  <si>
    <t>夜12</t>
  </si>
  <si>
    <t>早12</t>
  </si>
  <si>
    <t>日8</t>
  </si>
  <si>
    <r>
      <t>此为</t>
    </r>
    <r>
      <rPr>
        <b/>
        <sz val="14"/>
        <color rgb="FFFF0000"/>
        <rFont val="Calibri"/>
        <family val="2"/>
        <scheme val="minor"/>
      </rPr>
      <t>BACC - Shanghai</t>
    </r>
    <r>
      <rPr>
        <sz val="14"/>
        <rFont val="Calibri"/>
        <family val="2"/>
        <scheme val="minor"/>
      </rPr>
      <t>模板，请确保您为</t>
    </r>
    <r>
      <rPr>
        <b/>
        <sz val="14"/>
        <color rgb="FFFF0000"/>
        <rFont val="Calibri"/>
        <family val="2"/>
        <scheme val="minor"/>
      </rPr>
      <t>BACC - Shanghai</t>
    </r>
    <r>
      <rPr>
        <sz val="14"/>
        <rFont val="Calibri"/>
        <family val="2"/>
        <scheme val="minor"/>
      </rPr>
      <t xml:space="preserve">生产部实习生
This is </t>
    </r>
    <r>
      <rPr>
        <b/>
        <sz val="14"/>
        <color rgb="FFFF0000"/>
        <rFont val="Calibri"/>
        <family val="2"/>
        <scheme val="minor"/>
      </rPr>
      <t>BACC - Shanghai</t>
    </r>
    <r>
      <rPr>
        <sz val="14"/>
        <rFont val="Calibri"/>
        <family val="2"/>
        <scheme val="minor"/>
      </rPr>
      <t xml:space="preserve">, please ensure you are </t>
    </r>
    <r>
      <rPr>
        <b/>
        <sz val="14"/>
        <color rgb="FFFF0000"/>
        <rFont val="Calibri"/>
        <family val="2"/>
        <scheme val="minor"/>
      </rPr>
      <t>production</t>
    </r>
    <r>
      <rPr>
        <sz val="14"/>
        <rFont val="Calibri"/>
        <family val="2"/>
        <scheme val="minor"/>
      </rPr>
      <t xml:space="preserve"> intern from </t>
    </r>
    <r>
      <rPr>
        <b/>
        <sz val="14"/>
        <color rgb="FFFF0000"/>
        <rFont val="Calibri"/>
        <family val="2"/>
        <scheme val="minor"/>
      </rPr>
      <t>BACC - Shanghai</t>
    </r>
    <r>
      <rPr>
        <sz val="14"/>
        <rFont val="Calibri"/>
        <family val="2"/>
        <scheme val="minor"/>
      </rPr>
      <t>.</t>
    </r>
  </si>
  <si>
    <r>
      <t>此为</t>
    </r>
    <r>
      <rPr>
        <b/>
        <sz val="14"/>
        <color rgb="FFFF0000"/>
        <rFont val="Calibri"/>
        <family val="2"/>
        <scheme val="minor"/>
      </rPr>
      <t>BCCS - Shanghai</t>
    </r>
    <r>
      <rPr>
        <sz val="14"/>
        <rFont val="Calibri"/>
        <family val="2"/>
        <scheme val="minor"/>
      </rPr>
      <t>模板，请确保您为</t>
    </r>
    <r>
      <rPr>
        <b/>
        <sz val="14"/>
        <color rgb="FFFF0000"/>
        <rFont val="Calibri"/>
        <family val="2"/>
        <scheme val="minor"/>
      </rPr>
      <t>BCCS - Shanghai</t>
    </r>
    <r>
      <rPr>
        <sz val="14"/>
        <rFont val="Calibri"/>
        <family val="2"/>
        <scheme val="minor"/>
      </rPr>
      <t>生产部实习生
This is</t>
    </r>
    <r>
      <rPr>
        <b/>
        <sz val="14"/>
        <color rgb="FFFF0000"/>
        <rFont val="Calibri"/>
        <family val="2"/>
        <scheme val="minor"/>
      </rPr>
      <t xml:space="preserve"> BCCS - Shanghai</t>
    </r>
    <r>
      <rPr>
        <sz val="14"/>
        <rFont val="Calibri"/>
        <family val="2"/>
        <scheme val="minor"/>
      </rPr>
      <t xml:space="preserve">, please ensure you are production intern from </t>
    </r>
    <r>
      <rPr>
        <b/>
        <sz val="14"/>
        <color rgb="FFFF0000"/>
        <rFont val="Calibri"/>
        <family val="2"/>
        <scheme val="minor"/>
      </rPr>
      <t>BCCS - Shanghai</t>
    </r>
    <r>
      <rPr>
        <sz val="14"/>
        <rFont val="Calibri"/>
        <family val="2"/>
        <scheme val="minor"/>
      </rPr>
      <t>.</t>
    </r>
  </si>
  <si>
    <r>
      <t>此为</t>
    </r>
    <r>
      <rPr>
        <b/>
        <sz val="14"/>
        <color rgb="FFFF0000"/>
        <rFont val="Calibri"/>
        <family val="2"/>
        <scheme val="minor"/>
      </rPr>
      <t>BAPS - Shanghai</t>
    </r>
    <r>
      <rPr>
        <sz val="14"/>
        <rFont val="Calibri"/>
        <family val="2"/>
        <scheme val="minor"/>
      </rPr>
      <t>模板，请确保您为</t>
    </r>
    <r>
      <rPr>
        <b/>
        <sz val="14"/>
        <color rgb="FFFF0000"/>
        <rFont val="Calibri"/>
        <family val="2"/>
        <scheme val="minor"/>
      </rPr>
      <t>BAPS - Shanghai</t>
    </r>
    <r>
      <rPr>
        <sz val="14"/>
        <rFont val="Calibri"/>
        <family val="2"/>
        <scheme val="minor"/>
      </rPr>
      <t xml:space="preserve">生产部实习生
This is </t>
    </r>
    <r>
      <rPr>
        <b/>
        <sz val="14"/>
        <color rgb="FFFF0000"/>
        <rFont val="Calibri"/>
        <family val="2"/>
        <scheme val="minor"/>
      </rPr>
      <t>BAPS - Shanghai</t>
    </r>
    <r>
      <rPr>
        <sz val="14"/>
        <rFont val="Calibri"/>
        <family val="2"/>
        <scheme val="minor"/>
      </rPr>
      <t xml:space="preserve">, please ensure you are </t>
    </r>
    <r>
      <rPr>
        <b/>
        <sz val="14"/>
        <color rgb="FFFF0000"/>
        <rFont val="Calibri"/>
        <family val="2"/>
        <scheme val="minor"/>
      </rPr>
      <t>production</t>
    </r>
    <r>
      <rPr>
        <sz val="14"/>
        <rFont val="Calibri"/>
        <family val="2"/>
        <scheme val="minor"/>
      </rPr>
      <t xml:space="preserve"> intern from </t>
    </r>
    <r>
      <rPr>
        <b/>
        <sz val="14"/>
        <color rgb="FFFF0000"/>
        <rFont val="Calibri"/>
        <family val="2"/>
        <scheme val="minor"/>
      </rPr>
      <t>BAPS - Shanghai</t>
    </r>
    <r>
      <rPr>
        <sz val="14"/>
        <rFont val="Calibri"/>
        <family val="2"/>
        <scheme val="minor"/>
      </rPr>
      <t>.</t>
    </r>
  </si>
  <si>
    <t>早12班
Morning 12 hours Shift</t>
  </si>
  <si>
    <t>夜12班
Night 12 hours Shift</t>
  </si>
  <si>
    <t>日8班
Day 8 hours Shift</t>
  </si>
  <si>
    <t>早8班
Morning 8 hours Shift</t>
  </si>
  <si>
    <t>午8班
Afternoon 8 hours Shift</t>
  </si>
  <si>
    <t>夜8班
Night 8 hours Shift</t>
  </si>
  <si>
    <t>早8</t>
  </si>
  <si>
    <t>午8</t>
  </si>
  <si>
    <t>夜8</t>
  </si>
  <si>
    <r>
      <t>此为BETC - Shanghai模板，请确保您为</t>
    </r>
    <r>
      <rPr>
        <b/>
        <sz val="14"/>
        <color rgb="FFFF0000"/>
        <rFont val="Calibri"/>
        <family val="2"/>
        <scheme val="minor"/>
      </rPr>
      <t>BETC - Shanghai生产部</t>
    </r>
    <r>
      <rPr>
        <sz val="14"/>
        <rFont val="Calibri"/>
        <family val="2"/>
        <scheme val="minor"/>
      </rPr>
      <t xml:space="preserve">实习生
This is BETC - Shanghai template, please ensure you are </t>
    </r>
    <r>
      <rPr>
        <b/>
        <sz val="14"/>
        <color rgb="FFFF0000"/>
        <rFont val="Calibri"/>
        <family val="2"/>
        <scheme val="minor"/>
      </rPr>
      <t>production</t>
    </r>
    <r>
      <rPr>
        <sz val="14"/>
        <rFont val="Calibri"/>
        <family val="2"/>
        <scheme val="minor"/>
      </rPr>
      <t xml:space="preserve"> intern from </t>
    </r>
    <r>
      <rPr>
        <b/>
        <sz val="14"/>
        <color rgb="FFFF0000"/>
        <rFont val="Calibri"/>
        <family val="2"/>
        <scheme val="minor"/>
      </rPr>
      <t>BETC - Shanghai</t>
    </r>
    <r>
      <rPr>
        <sz val="14"/>
        <rFont val="Calibri"/>
        <family val="2"/>
        <scheme val="minor"/>
      </rPr>
      <t>.</t>
    </r>
  </si>
  <si>
    <r>
      <t>此为BIG - Zhanjiang模板，请确保您为</t>
    </r>
    <r>
      <rPr>
        <b/>
        <sz val="14"/>
        <color rgb="FFFF0000"/>
        <rFont val="Calibri"/>
        <family val="2"/>
        <scheme val="minor"/>
      </rPr>
      <t>BIG - Zhanjiang 生产部</t>
    </r>
    <r>
      <rPr>
        <sz val="14"/>
        <rFont val="Calibri"/>
        <family val="2"/>
        <scheme val="minor"/>
      </rPr>
      <t xml:space="preserve">实习生
This is BIG - Zhanjiang template, please ensure you are </t>
    </r>
    <r>
      <rPr>
        <b/>
        <sz val="14"/>
        <color rgb="FFFF0000"/>
        <rFont val="Calibri"/>
        <family val="2"/>
        <scheme val="minor"/>
      </rPr>
      <t>production</t>
    </r>
    <r>
      <rPr>
        <sz val="14"/>
        <rFont val="Calibri"/>
        <family val="2"/>
        <scheme val="minor"/>
      </rPr>
      <t xml:space="preserve"> intern from </t>
    </r>
    <r>
      <rPr>
        <b/>
        <sz val="14"/>
        <color rgb="FFFF0000"/>
        <rFont val="Calibri"/>
        <family val="2"/>
        <scheme val="minor"/>
      </rPr>
      <t>BIG - Zhanjiang</t>
    </r>
    <r>
      <rPr>
        <sz val="14"/>
        <rFont val="Calibri"/>
        <family val="2"/>
        <scheme val="minor"/>
      </rPr>
      <t>.</t>
    </r>
  </si>
  <si>
    <t>Date</t>
  </si>
  <si>
    <t>EN_Date</t>
  </si>
  <si>
    <t>CN_Date</t>
  </si>
  <si>
    <t>Personnel Area</t>
  </si>
  <si>
    <t>WT</t>
  </si>
  <si>
    <t>Prod_BCSC</t>
  </si>
  <si>
    <t>Prod_BACH</t>
  </si>
  <si>
    <t>Prod_BACC</t>
  </si>
  <si>
    <t>Prod_BAPS</t>
  </si>
  <si>
    <t>Prod_BIG</t>
  </si>
  <si>
    <t>HCl</t>
  </si>
  <si>
    <t>PH</t>
  </si>
  <si>
    <t>RH</t>
  </si>
  <si>
    <t>BCCC - Shanghai</t>
  </si>
  <si>
    <t>BCH - Shanghai</t>
  </si>
  <si>
    <t>BEMC - Shanghai</t>
  </si>
  <si>
    <t>BAEP - Shanghai</t>
  </si>
  <si>
    <t>BIG 办公室实习生 | BIG_Office Intern</t>
  </si>
  <si>
    <t>SWD</t>
  </si>
  <si>
    <t>SRD</t>
  </si>
  <si>
    <t>BIG_Office</t>
  </si>
  <si>
    <t>SRD=Substitute Rest Day</t>
  </si>
  <si>
    <t>SWD= Substitute Working Day</t>
  </si>
  <si>
    <t>RH= Replacement Holiday</t>
  </si>
  <si>
    <t>PH= Public Holiday</t>
  </si>
  <si>
    <t>BPCC - Chongqing</t>
  </si>
  <si>
    <r>
      <t>此为</t>
    </r>
    <r>
      <rPr>
        <b/>
        <sz val="14"/>
        <color rgb="FFFF0000"/>
        <rFont val="Calibri"/>
        <family val="2"/>
        <scheme val="minor"/>
      </rPr>
      <t>BPCC - Chongqing</t>
    </r>
    <r>
      <rPr>
        <sz val="14"/>
        <rFont val="Calibri"/>
        <family val="2"/>
        <scheme val="minor"/>
      </rPr>
      <t>模板，请确保您为</t>
    </r>
    <r>
      <rPr>
        <b/>
        <sz val="14"/>
        <color rgb="FFFF0000"/>
        <rFont val="Calibri"/>
        <family val="2"/>
        <scheme val="minor"/>
      </rPr>
      <t>BPCC - Chongqing生产部</t>
    </r>
    <r>
      <rPr>
        <sz val="14"/>
        <rFont val="Calibri"/>
        <family val="2"/>
        <scheme val="minor"/>
      </rPr>
      <t xml:space="preserve">实习生
This is </t>
    </r>
    <r>
      <rPr>
        <b/>
        <sz val="14"/>
        <color rgb="FFFF0000"/>
        <rFont val="Calibri"/>
        <family val="2"/>
        <scheme val="minor"/>
      </rPr>
      <t>BPCC - Chongqing</t>
    </r>
    <r>
      <rPr>
        <sz val="14"/>
        <rFont val="Calibri"/>
        <family val="2"/>
        <scheme val="minor"/>
      </rPr>
      <t xml:space="preserve">, please ensure you are </t>
    </r>
    <r>
      <rPr>
        <b/>
        <sz val="14"/>
        <color rgb="FFFF0000"/>
        <rFont val="Calibri"/>
        <family val="2"/>
        <scheme val="minor"/>
      </rPr>
      <t>production</t>
    </r>
    <r>
      <rPr>
        <sz val="14"/>
        <rFont val="Calibri"/>
        <family val="2"/>
        <scheme val="minor"/>
      </rPr>
      <t xml:space="preserve"> intern from </t>
    </r>
    <r>
      <rPr>
        <b/>
        <sz val="14"/>
        <color rgb="FFFF0000"/>
        <rFont val="Calibri"/>
        <family val="2"/>
        <scheme val="minor"/>
      </rPr>
      <t>BPCC - Chongqing</t>
    </r>
    <r>
      <rPr>
        <sz val="14"/>
        <rFont val="Calibri"/>
        <family val="2"/>
        <scheme val="minor"/>
      </rPr>
      <t>.</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</si>
</sst>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mmm\-yyyy"/>
    <numFmt numFmtId="165" formatCode="dd\.mm\.yyyy"/>
    <numFmt numFmtId="166" formatCode="mm\月yyyy\年"/>
    <numFmt numFmtId="167" formatCode="yyyy\年mm\月"/>
    <numFmt numFmtId="168" formatCode="yyyy\-mmm"/>
  </numFmts>
  <fonts count="24">
    <font>
      <sz val="10"/>
      <name val="Arial"/>
    </font>
    <font>
      <sz val="11"/>
      <name val="Calibri"/>
      <family val="2"/>
      <scheme val="minor"/>
    </font>
    <font>
      <b/>
      <sz val="11"/>
      <color rgb="FFFF0000"/>
      <name val="Calibri"/>
      <family val="2"/>
      <scheme val="minor"/>
    </font>
    <font>
      <b/>
      <sz val="11"/>
      <name val="Calibri"/>
      <family val="2"/>
      <scheme val="minor"/>
    </font>
    <font>
      <sz val="11"/>
      <color theme="0"/>
      <name val="Calibri"/>
      <family val="2"/>
      <scheme val="minor"/>
    </font>
    <font>
      <sz val="14"/>
      <name val="Calibri"/>
      <family val="2"/>
      <scheme val="minor"/>
    </font>
    <font>
      <b/>
      <sz val="14"/>
      <color rgb="FFFF0000"/>
      <name val="Calibri"/>
      <family val="2"/>
      <scheme val="minor"/>
    </font>
    <font>
      <u/>
      <sz val="10"/>
      <color theme="10"/>
      <name val="Arial"/>
      <family val="2"/>
    </font>
    <font>
      <b/>
      <u/>
      <sz val="11"/>
      <color theme="10"/>
      <name val="Calibri"/>
      <family val="2"/>
      <scheme val="minor"/>
    </font>
    <font>
      <sz val="11"/>
      <color rgb="FFFF0000"/>
      <name val="Calibri"/>
      <family val="2"/>
      <scheme val="minor"/>
    </font>
    <font>
      <b/>
      <u/>
      <sz val="11"/>
      <name val="Calibri"/>
      <family val="2"/>
      <scheme val="minor"/>
    </font>
    <font>
      <b/>
      <sz val="11"/>
      <color theme="0"/>
      <name val="Calibri"/>
      <family val="2"/>
      <scheme val="minor"/>
    </font>
    <font>
      <b/>
      <sz val="14"/>
      <name val="Calibri"/>
      <family val="2"/>
      <scheme val="minor"/>
    </font>
    <font>
      <b/>
      <sz val="15"/>
      <name val="Calibri"/>
      <family val="2"/>
      <scheme val="minor"/>
    </font>
    <font>
      <b/>
      <sz val="15"/>
      <color theme="0"/>
      <name val="Calibri"/>
      <family val="2"/>
      <scheme val="minor"/>
    </font>
    <font>
      <b/>
      <u/>
      <sz val="15"/>
      <color theme="10"/>
      <name val="Calibri"/>
      <family val="2"/>
      <scheme val="minor"/>
    </font>
    <font>
      <b/>
      <u/>
      <sz val="14"/>
      <color rgb="FFFF0000"/>
      <name val="Calibri"/>
      <family val="2"/>
      <scheme val="minor"/>
    </font>
    <font>
      <b/>
      <u/>
      <sz val="11"/>
      <color theme="4"/>
      <name val="Calibri"/>
      <family val="2"/>
      <scheme val="minor"/>
    </font>
    <font>
      <b/>
      <u/>
      <sz val="10"/>
      <color theme="4"/>
      <name val="Arial"/>
      <family val="2"/>
    </font>
    <font>
      <b/>
      <u/>
      <sz val="15"/>
      <color theme="4"/>
      <name val="Calibri"/>
      <family val="2"/>
      <scheme val="minor"/>
    </font>
    <font>
      <sz val="10"/>
      <name val="Arial"/>
      <family val="2"/>
    </font>
    <font>
      <sz val="11"/>
      <color theme="1"/>
      <name val="Calibri"/>
      <family val="2"/>
      <scheme val="minor"/>
    </font>
    <font>
      <b/>
      <sz val="11"/>
      <color theme="9"/>
      <name val="Calibri"/>
      <family val="2"/>
      <scheme val="minor"/>
    </font>
    <font>
      <b/>
      <sz val="11"/>
      <color theme="4"/>
      <name val="Calibri"/>
      <family val="2"/>
      <scheme val="minor"/>
    </font>
  </fonts>
  <fills count="8">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0070C0"/>
        <bgColor indexed="64"/>
      </patternFill>
    </fill>
    <fill>
      <patternFill patternType="solid">
        <fgColor rgb="FFCCFFCC"/>
        <bgColor indexed="64"/>
      </patternFill>
    </fill>
    <fill>
      <patternFill patternType="solid">
        <fgColor rgb="FF92D050"/>
        <bgColor indexed="64"/>
      </patternFill>
    </fill>
    <fill>
      <patternFill patternType="solid">
        <fgColor rgb="FF002060"/>
        <bgColor indexed="64"/>
      </patternFill>
    </fill>
  </fills>
  <borders count="6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thin">
        <color indexed="64"/>
      </left>
      <right/>
      <top/>
      <bottom/>
      <diagonal/>
    </border>
    <border>
      <left/>
      <right style="thin">
        <color indexed="64"/>
      </right>
      <top/>
      <bottom/>
      <diagonal/>
    </border>
    <border>
      <left style="medium">
        <color indexed="64"/>
      </left>
      <right/>
      <top style="medium">
        <color indexed="64"/>
      </top>
      <bottom/>
      <diagonal/>
    </border>
    <border>
      <left style="thin">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style="medium">
        <color indexed="64"/>
      </bottom>
      <diagonal/>
    </border>
    <border>
      <left style="medium">
        <color indexed="64"/>
      </left>
      <right/>
      <top style="thin">
        <color indexed="64"/>
      </top>
      <bottom style="thin">
        <color indexed="64"/>
      </bottom>
      <diagonal/>
    </border>
    <border>
      <left style="thin">
        <color indexed="64"/>
      </left>
      <right/>
      <top style="thin">
        <color indexed="64"/>
      </top>
      <bottom style="thin">
        <color indexed="64"/>
      </bottom>
      <diagonal/>
    </border>
    <border>
      <left/>
      <right style="medium">
        <color indexed="64"/>
      </right>
      <top style="medium">
        <color indexed="64"/>
      </top>
      <bottom/>
      <diagonal/>
    </border>
    <border>
      <left/>
      <right style="medium">
        <color indexed="64"/>
      </right>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medium">
        <color indexed="64"/>
      </left>
      <right/>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top style="medium">
        <color indexed="64"/>
      </top>
      <bottom/>
      <diagonal/>
    </border>
    <border>
      <left/>
      <right/>
      <top/>
      <bottom style="medium">
        <color indexed="64"/>
      </bottom>
      <diagonal/>
    </border>
    <border>
      <left/>
      <right/>
      <top/>
      <bottom style="thin">
        <color indexed="64"/>
      </bottom>
      <diagonal/>
    </border>
    <border>
      <left style="thin">
        <color indexed="64"/>
      </left>
      <right style="medium">
        <color indexed="64"/>
      </right>
      <top/>
      <bottom/>
      <diagonal/>
    </border>
  </borders>
  <cellStyleXfs count="4">
    <xf numFmtId="0" fontId="0" fillId="0" borderId="0"/>
    <xf numFmtId="0" fontId="7" fillId="0" borderId="0" applyNumberFormat="0" applyFill="0" applyBorder="0" applyAlignment="0" applyProtection="0"/>
    <xf numFmtId="0" fontId="20" fillId="0" borderId="0"/>
    <xf numFmtId="0" fontId="21" fillId="0" borderId="0"/>
  </cellStyleXfs>
  <cellXfs count="213">
    <xf numFmtId="0" fontId="0" fillId="0" borderId="0" xfId="0" applyAlignment="1">
      <alignment vertical="top"/>
    </xf>
    <xf numFmtId="0" fontId="1" fillId="2" borderId="20" xfId="0" applyFont="1" applyFill="1" applyBorder="1" applyAlignment="1" applyProtection="1">
      <alignment horizontal="center" vertical="center"/>
      <protection locked="0"/>
    </xf>
    <xf numFmtId="0" fontId="1" fillId="2" borderId="10" xfId="0" applyFont="1" applyFill="1" applyBorder="1" applyAlignment="1" applyProtection="1">
      <alignment horizontal="center" vertical="center"/>
      <protection locked="0"/>
    </xf>
    <xf numFmtId="0" fontId="1" fillId="2" borderId="11" xfId="0" applyFont="1" applyFill="1" applyBorder="1" applyAlignment="1" applyProtection="1">
      <alignment horizontal="center" vertical="center"/>
      <protection locked="0"/>
    </xf>
    <xf numFmtId="0" fontId="1" fillId="2" borderId="23" xfId="0" applyFont="1" applyFill="1" applyBorder="1" applyAlignment="1" applyProtection="1">
      <alignment horizontal="center" vertical="center"/>
      <protection locked="0"/>
    </xf>
    <xf numFmtId="0" fontId="1" fillId="2" borderId="14" xfId="0" applyFont="1" applyFill="1" applyBorder="1" applyAlignment="1" applyProtection="1">
      <alignment horizontal="center" vertical="center"/>
      <protection locked="0"/>
    </xf>
    <xf numFmtId="0" fontId="1" fillId="2" borderId="15" xfId="0" applyFont="1" applyFill="1" applyBorder="1" applyAlignment="1" applyProtection="1">
      <alignment horizontal="center" vertical="center"/>
      <protection locked="0"/>
    </xf>
    <xf numFmtId="167" fontId="5" fillId="3" borderId="32" xfId="0" applyNumberFormat="1" applyFont="1" applyFill="1" applyBorder="1" applyAlignment="1" applyProtection="1">
      <alignment horizontal="center" vertical="center"/>
      <protection hidden="1"/>
    </xf>
    <xf numFmtId="0" fontId="1" fillId="2" borderId="0" xfId="0" applyFont="1" applyFill="1" applyAlignment="1" applyProtection="1">
      <alignment vertical="top"/>
      <protection hidden="1"/>
    </xf>
    <xf numFmtId="0" fontId="2" fillId="2" borderId="0" xfId="0" applyFont="1" applyFill="1" applyAlignment="1" applyProtection="1">
      <alignment vertical="top"/>
      <protection hidden="1"/>
    </xf>
    <xf numFmtId="14" fontId="1" fillId="2" borderId="0" xfId="0" applyNumberFormat="1" applyFont="1" applyFill="1" applyAlignment="1" applyProtection="1">
      <alignment horizontal="center" vertical="top"/>
      <protection hidden="1"/>
    </xf>
    <xf numFmtId="0" fontId="1" fillId="2" borderId="0" xfId="0" applyFont="1" applyFill="1" applyAlignment="1" applyProtection="1">
      <alignment horizontal="center" vertical="top"/>
      <protection hidden="1"/>
    </xf>
    <xf numFmtId="0" fontId="3" fillId="3" borderId="8" xfId="0" applyFont="1" applyFill="1" applyBorder="1" applyAlignment="1" applyProtection="1">
      <alignment horizontal="center" vertical="top" wrapText="1"/>
      <protection hidden="1"/>
    </xf>
    <xf numFmtId="0" fontId="3" fillId="3" borderId="9" xfId="0" applyFont="1" applyFill="1" applyBorder="1" applyAlignment="1" applyProtection="1">
      <alignment horizontal="center" vertical="top" wrapText="1"/>
      <protection hidden="1"/>
    </xf>
    <xf numFmtId="0" fontId="3" fillId="3" borderId="16" xfId="0" applyFont="1" applyFill="1" applyBorder="1" applyAlignment="1" applyProtection="1">
      <alignment vertical="top" wrapText="1"/>
      <protection hidden="1"/>
    </xf>
    <xf numFmtId="0" fontId="3" fillId="3" borderId="4" xfId="0" applyFont="1" applyFill="1" applyBorder="1" applyAlignment="1" applyProtection="1">
      <alignment vertical="top" wrapText="1"/>
      <protection hidden="1"/>
    </xf>
    <xf numFmtId="14" fontId="4" fillId="4" borderId="21" xfId="0" applyNumberFormat="1" applyFont="1" applyFill="1" applyBorder="1" applyAlignment="1" applyProtection="1">
      <alignment horizontal="center"/>
      <protection hidden="1"/>
    </xf>
    <xf numFmtId="14" fontId="4" fillId="4" borderId="1" xfId="0" applyNumberFormat="1" applyFont="1" applyFill="1" applyBorder="1" applyAlignment="1" applyProtection="1">
      <alignment horizontal="center"/>
      <protection hidden="1"/>
    </xf>
    <xf numFmtId="14" fontId="4" fillId="4" borderId="18" xfId="0" applyNumberFormat="1" applyFont="1" applyFill="1" applyBorder="1" applyAlignment="1" applyProtection="1">
      <alignment horizontal="center"/>
      <protection hidden="1"/>
    </xf>
    <xf numFmtId="0" fontId="1" fillId="2" borderId="25" xfId="0" applyFont="1" applyFill="1" applyBorder="1" applyAlignment="1" applyProtection="1">
      <alignment horizontal="left" vertical="top" wrapText="1"/>
      <protection hidden="1"/>
    </xf>
    <xf numFmtId="0" fontId="4" fillId="4" borderId="19" xfId="0" applyFont="1" applyFill="1" applyBorder="1" applyAlignment="1" applyProtection="1">
      <alignment horizontal="center" vertical="top"/>
      <protection hidden="1"/>
    </xf>
    <xf numFmtId="0" fontId="4" fillId="4" borderId="2" xfId="0" applyFont="1" applyFill="1" applyBorder="1" applyAlignment="1" applyProtection="1">
      <alignment horizontal="center" vertical="top"/>
      <protection hidden="1"/>
    </xf>
    <xf numFmtId="0" fontId="4" fillId="4" borderId="22" xfId="0" applyFont="1" applyFill="1" applyBorder="1" applyAlignment="1" applyProtection="1">
      <alignment horizontal="center" vertical="top"/>
      <protection hidden="1"/>
    </xf>
    <xf numFmtId="0" fontId="1" fillId="2" borderId="26" xfId="0" applyFont="1" applyFill="1" applyBorder="1" applyAlignment="1" applyProtection="1">
      <alignment horizontal="center" vertical="center"/>
      <protection hidden="1"/>
    </xf>
    <xf numFmtId="0" fontId="1" fillId="2" borderId="20" xfId="0" applyFont="1" applyFill="1" applyBorder="1" applyAlignment="1" applyProtection="1">
      <alignment horizontal="center" vertical="center"/>
      <protection hidden="1"/>
    </xf>
    <xf numFmtId="0" fontId="1" fillId="2" borderId="10" xfId="0" applyFont="1" applyFill="1" applyBorder="1" applyAlignment="1" applyProtection="1">
      <alignment horizontal="center" vertical="center"/>
      <protection hidden="1"/>
    </xf>
    <xf numFmtId="0" fontId="1" fillId="2" borderId="11" xfId="0" applyFont="1" applyFill="1" applyBorder="1" applyAlignment="1" applyProtection="1">
      <alignment horizontal="center" vertical="center"/>
      <protection hidden="1"/>
    </xf>
    <xf numFmtId="0" fontId="1" fillId="2" borderId="27" xfId="0" applyFont="1" applyFill="1" applyBorder="1" applyAlignment="1" applyProtection="1">
      <alignment horizontal="center" vertical="center"/>
      <protection hidden="1"/>
    </xf>
    <xf numFmtId="0" fontId="1" fillId="2" borderId="23" xfId="0" applyFont="1" applyFill="1" applyBorder="1" applyAlignment="1" applyProtection="1">
      <alignment horizontal="center" vertical="center"/>
      <protection hidden="1"/>
    </xf>
    <xf numFmtId="0" fontId="1" fillId="2" borderId="14" xfId="0" applyFont="1" applyFill="1" applyBorder="1" applyAlignment="1" applyProtection="1">
      <alignment horizontal="center" vertical="center"/>
      <protection hidden="1"/>
    </xf>
    <xf numFmtId="0" fontId="1" fillId="2" borderId="15" xfId="0" applyFont="1" applyFill="1" applyBorder="1" applyAlignment="1" applyProtection="1">
      <alignment horizontal="center" vertical="center"/>
      <protection hidden="1"/>
    </xf>
    <xf numFmtId="0" fontId="1" fillId="2" borderId="0" xfId="0" applyFont="1" applyFill="1" applyAlignment="1" applyProtection="1">
      <alignment vertical="center"/>
      <protection hidden="1"/>
    </xf>
    <xf numFmtId="168" fontId="6" fillId="2" borderId="7" xfId="0" applyNumberFormat="1" applyFont="1" applyFill="1" applyBorder="1" applyAlignment="1" applyProtection="1">
      <alignment horizontal="center" vertical="center"/>
      <protection locked="0"/>
    </xf>
    <xf numFmtId="168" fontId="5" fillId="3" borderId="30" xfId="0" applyNumberFormat="1" applyFont="1" applyFill="1" applyBorder="1" applyAlignment="1" applyProtection="1">
      <alignment horizontal="center" vertical="top"/>
      <protection hidden="1"/>
    </xf>
    <xf numFmtId="14" fontId="1" fillId="2" borderId="0" xfId="0" applyNumberFormat="1" applyFont="1" applyFill="1" applyAlignment="1" applyProtection="1">
      <alignment horizontal="left" vertical="top"/>
      <protection hidden="1"/>
    </xf>
    <xf numFmtId="0" fontId="3" fillId="3" borderId="24" xfId="0" applyFont="1" applyFill="1" applyBorder="1" applyAlignment="1" applyProtection="1">
      <alignment horizontal="center" vertical="top" wrapText="1"/>
      <protection hidden="1"/>
    </xf>
    <xf numFmtId="0" fontId="3" fillId="3" borderId="35" xfId="0" applyFont="1" applyFill="1" applyBorder="1" applyAlignment="1" applyProtection="1">
      <alignment horizontal="center" vertical="top" wrapText="1"/>
      <protection hidden="1"/>
    </xf>
    <xf numFmtId="0" fontId="3" fillId="3" borderId="33" xfId="0" applyFont="1" applyFill="1" applyBorder="1" applyAlignment="1" applyProtection="1">
      <alignment horizontal="center" vertical="top" wrapText="1"/>
      <protection hidden="1"/>
    </xf>
    <xf numFmtId="14" fontId="3" fillId="3" borderId="20" xfId="0" applyNumberFormat="1" applyFont="1" applyFill="1" applyBorder="1" applyAlignment="1" applyProtection="1">
      <alignment horizontal="center" vertical="center" textRotation="90"/>
      <protection hidden="1"/>
    </xf>
    <xf numFmtId="14" fontId="3" fillId="3" borderId="10" xfId="0" applyNumberFormat="1" applyFont="1" applyFill="1" applyBorder="1" applyAlignment="1" applyProtection="1">
      <alignment horizontal="center" vertical="center" textRotation="90"/>
      <protection hidden="1"/>
    </xf>
    <xf numFmtId="14" fontId="3" fillId="3" borderId="11" xfId="0" applyNumberFormat="1" applyFont="1" applyFill="1" applyBorder="1" applyAlignment="1" applyProtection="1">
      <alignment horizontal="center" vertical="center" textRotation="90"/>
      <protection hidden="1"/>
    </xf>
    <xf numFmtId="0" fontId="3" fillId="3" borderId="37" xfId="0" applyFont="1" applyFill="1" applyBorder="1" applyAlignment="1" applyProtection="1">
      <alignment vertical="center" wrapText="1"/>
      <protection hidden="1"/>
    </xf>
    <xf numFmtId="0" fontId="3" fillId="3" borderId="36" xfId="0" applyFont="1" applyFill="1" applyBorder="1" applyAlignment="1" applyProtection="1">
      <alignment vertical="center" wrapText="1"/>
      <protection hidden="1"/>
    </xf>
    <xf numFmtId="0" fontId="3" fillId="3" borderId="13" xfId="0" applyFont="1" applyFill="1" applyBorder="1" applyAlignment="1" applyProtection="1">
      <alignment vertical="center" wrapText="1"/>
      <protection hidden="1"/>
    </xf>
    <xf numFmtId="0" fontId="3" fillId="3" borderId="34" xfId="0" applyFont="1" applyFill="1" applyBorder="1" applyAlignment="1" applyProtection="1">
      <alignment vertical="center" wrapText="1"/>
      <protection hidden="1"/>
    </xf>
    <xf numFmtId="0" fontId="1" fillId="2" borderId="23" xfId="0" applyFont="1" applyFill="1" applyBorder="1" applyAlignment="1" applyProtection="1">
      <alignment horizontal="center" vertical="top"/>
      <protection hidden="1"/>
    </xf>
    <xf numFmtId="0" fontId="1" fillId="2" borderId="14" xfId="0" applyFont="1" applyFill="1" applyBorder="1" applyAlignment="1" applyProtection="1">
      <alignment horizontal="center" vertical="top"/>
      <protection hidden="1"/>
    </xf>
    <xf numFmtId="0" fontId="1" fillId="2" borderId="15" xfId="0" applyFont="1" applyFill="1" applyBorder="1" applyAlignment="1" applyProtection="1">
      <alignment horizontal="center" vertical="top"/>
      <protection hidden="1"/>
    </xf>
    <xf numFmtId="0" fontId="3" fillId="3" borderId="12" xfId="0" applyFont="1" applyFill="1" applyBorder="1" applyAlignment="1" applyProtection="1">
      <alignment vertical="center" wrapText="1"/>
      <protection hidden="1"/>
    </xf>
    <xf numFmtId="0" fontId="2" fillId="3" borderId="13" xfId="0" applyFont="1" applyFill="1" applyBorder="1" applyAlignment="1" applyProtection="1">
      <alignment vertical="center" wrapText="1"/>
      <protection hidden="1"/>
    </xf>
    <xf numFmtId="0" fontId="1" fillId="2" borderId="38" xfId="0" applyFont="1" applyFill="1" applyBorder="1" applyAlignment="1" applyProtection="1">
      <alignment horizontal="center" vertical="center"/>
      <protection hidden="1"/>
    </xf>
    <xf numFmtId="0" fontId="1" fillId="2" borderId="5" xfId="0" applyFont="1" applyFill="1" applyBorder="1" applyAlignment="1" applyProtection="1">
      <alignment horizontal="center" vertical="center"/>
      <protection hidden="1"/>
    </xf>
    <xf numFmtId="0" fontId="1" fillId="2" borderId="10" xfId="0" applyFont="1" applyFill="1" applyBorder="1" applyAlignment="1" applyProtection="1">
      <alignment horizontal="center" vertical="top"/>
      <protection hidden="1"/>
    </xf>
    <xf numFmtId="0" fontId="1" fillId="2" borderId="17" xfId="0" applyFont="1" applyFill="1" applyBorder="1" applyAlignment="1" applyProtection="1">
      <alignment horizontal="center" vertical="center"/>
      <protection hidden="1"/>
    </xf>
    <xf numFmtId="0" fontId="1" fillId="2" borderId="20" xfId="0" applyFont="1" applyFill="1" applyBorder="1" applyAlignment="1" applyProtection="1">
      <alignment horizontal="center" vertical="top"/>
      <protection hidden="1"/>
    </xf>
    <xf numFmtId="0" fontId="1" fillId="2" borderId="11" xfId="0" applyFont="1" applyFill="1" applyBorder="1" applyAlignment="1" applyProtection="1">
      <alignment horizontal="center" vertical="top"/>
      <protection hidden="1"/>
    </xf>
    <xf numFmtId="0" fontId="4" fillId="4" borderId="20" xfId="0" applyFont="1" applyFill="1" applyBorder="1" applyAlignment="1" applyProtection="1">
      <alignment horizontal="center" vertical="top"/>
      <protection hidden="1"/>
    </xf>
    <xf numFmtId="0" fontId="4" fillId="4" borderId="10" xfId="0" applyFont="1" applyFill="1" applyBorder="1" applyAlignment="1" applyProtection="1">
      <alignment horizontal="center" vertical="top"/>
      <protection hidden="1"/>
    </xf>
    <xf numFmtId="0" fontId="2" fillId="3" borderId="10" xfId="0" applyFont="1" applyFill="1" applyBorder="1" applyAlignment="1" applyProtection="1">
      <alignment horizontal="center" vertical="top"/>
      <protection hidden="1"/>
    </xf>
    <xf numFmtId="0" fontId="1" fillId="2" borderId="39" xfId="0" applyFont="1" applyFill="1" applyBorder="1" applyAlignment="1" applyProtection="1">
      <alignment horizontal="center" vertical="center"/>
      <protection hidden="1"/>
    </xf>
    <xf numFmtId="0" fontId="4" fillId="4" borderId="21" xfId="0" applyFont="1" applyFill="1" applyBorder="1" applyAlignment="1" applyProtection="1">
      <alignment horizontal="center" vertical="top"/>
      <protection hidden="1"/>
    </xf>
    <xf numFmtId="0" fontId="4" fillId="4" borderId="1" xfId="0" applyFont="1" applyFill="1" applyBorder="1" applyAlignment="1" applyProtection="1">
      <alignment horizontal="center" vertical="top"/>
      <protection hidden="1"/>
    </xf>
    <xf numFmtId="0" fontId="2" fillId="3" borderId="1" xfId="0" applyFont="1" applyFill="1" applyBorder="1" applyAlignment="1" applyProtection="1">
      <alignment horizontal="center" vertical="top"/>
      <protection hidden="1"/>
    </xf>
    <xf numFmtId="0" fontId="1" fillId="2" borderId="0" xfId="0" quotePrefix="1" applyFont="1" applyFill="1" applyAlignment="1" applyProtection="1">
      <alignment vertical="top"/>
      <protection hidden="1"/>
    </xf>
    <xf numFmtId="14" fontId="1" fillId="2" borderId="1" xfId="0" applyNumberFormat="1" applyFont="1" applyFill="1" applyBorder="1" applyAlignment="1" applyProtection="1">
      <alignment horizontal="left" vertical="top"/>
      <protection hidden="1"/>
    </xf>
    <xf numFmtId="14" fontId="1" fillId="2" borderId="1" xfId="0" applyNumberFormat="1" applyFont="1" applyFill="1" applyBorder="1" applyAlignment="1" applyProtection="1">
      <alignment horizontal="right" vertical="top"/>
      <protection hidden="1"/>
    </xf>
    <xf numFmtId="14" fontId="1" fillId="2" borderId="0" xfId="0" applyNumberFormat="1" applyFont="1" applyFill="1" applyAlignment="1" applyProtection="1">
      <alignment horizontal="right" vertical="top"/>
      <protection hidden="1"/>
    </xf>
    <xf numFmtId="0" fontId="1" fillId="5" borderId="0" xfId="0" applyFont="1" applyFill="1" applyAlignment="1" applyProtection="1">
      <alignment horizontal="center" vertical="top"/>
      <protection hidden="1"/>
    </xf>
    <xf numFmtId="165" fontId="1" fillId="3" borderId="0" xfId="0" applyNumberFormat="1" applyFont="1" applyFill="1" applyAlignment="1" applyProtection="1">
      <alignment horizontal="center" vertical="top"/>
      <protection hidden="1"/>
    </xf>
    <xf numFmtId="165" fontId="1" fillId="5" borderId="0" xfId="0" applyNumberFormat="1" applyFont="1" applyFill="1" applyAlignment="1" applyProtection="1">
      <alignment horizontal="center" vertical="top"/>
      <protection hidden="1"/>
    </xf>
    <xf numFmtId="165" fontId="1" fillId="3" borderId="0" xfId="0" applyNumberFormat="1" applyFont="1" applyFill="1" applyAlignment="1" applyProtection="1">
      <alignment vertical="top"/>
      <protection hidden="1"/>
    </xf>
    <xf numFmtId="0" fontId="1" fillId="3" borderId="0" xfId="0" applyFont="1" applyFill="1" applyAlignment="1" applyProtection="1">
      <alignment horizontal="center" vertical="top"/>
      <protection hidden="1"/>
    </xf>
    <xf numFmtId="0" fontId="1" fillId="2" borderId="1" xfId="0" applyFont="1" applyFill="1" applyBorder="1" applyAlignment="1" applyProtection="1">
      <alignment horizontal="left" vertical="top"/>
      <protection hidden="1"/>
    </xf>
    <xf numFmtId="0" fontId="3" fillId="2" borderId="1" xfId="0" applyFont="1" applyFill="1" applyBorder="1" applyAlignment="1" applyProtection="1">
      <alignment vertical="top"/>
      <protection hidden="1"/>
    </xf>
    <xf numFmtId="0" fontId="3" fillId="2" borderId="0" xfId="0" applyFont="1" applyFill="1" applyAlignment="1" applyProtection="1">
      <alignment vertical="top"/>
      <protection hidden="1"/>
    </xf>
    <xf numFmtId="164" fontId="1" fillId="2" borderId="0" xfId="0" applyNumberFormat="1" applyFont="1" applyFill="1" applyAlignment="1" applyProtection="1">
      <alignment horizontal="center" vertical="top"/>
      <protection hidden="1"/>
    </xf>
    <xf numFmtId="166" fontId="1" fillId="2" borderId="0" xfId="0" applyNumberFormat="1" applyFont="1" applyFill="1" applyAlignment="1" applyProtection="1">
      <alignment horizontal="center" vertical="top"/>
      <protection hidden="1"/>
    </xf>
    <xf numFmtId="166" fontId="1" fillId="2" borderId="0" xfId="0" applyNumberFormat="1" applyFont="1" applyFill="1" applyAlignment="1" applyProtection="1">
      <alignment horizontal="left" vertical="top"/>
      <protection hidden="1"/>
    </xf>
    <xf numFmtId="168" fontId="1" fillId="2" borderId="0" xfId="0" applyNumberFormat="1" applyFont="1" applyFill="1" applyAlignment="1" applyProtection="1">
      <alignment horizontal="center" vertical="top"/>
      <protection hidden="1"/>
    </xf>
    <xf numFmtId="167" fontId="1" fillId="2" borderId="0" xfId="0" applyNumberFormat="1" applyFont="1" applyFill="1" applyAlignment="1" applyProtection="1">
      <alignment horizontal="center" vertical="top"/>
      <protection hidden="1"/>
    </xf>
    <xf numFmtId="165" fontId="1" fillId="2" borderId="0" xfId="0" applyNumberFormat="1" applyFont="1" applyFill="1" applyAlignment="1" applyProtection="1">
      <alignment vertical="top"/>
      <protection hidden="1"/>
    </xf>
    <xf numFmtId="166" fontId="1" fillId="2" borderId="0" xfId="0" applyNumberFormat="1" applyFont="1" applyFill="1" applyAlignment="1" applyProtection="1">
      <alignment vertical="top"/>
      <protection hidden="1"/>
    </xf>
    <xf numFmtId="0" fontId="9" fillId="2" borderId="0" xfId="0" applyFont="1" applyFill="1" applyAlignment="1" applyProtection="1">
      <alignment vertical="top"/>
      <protection hidden="1"/>
    </xf>
    <xf numFmtId="0" fontId="6" fillId="2" borderId="0" xfId="0" applyFont="1" applyFill="1" applyAlignment="1" applyProtection="1">
      <alignment vertical="top"/>
      <protection hidden="1"/>
    </xf>
    <xf numFmtId="0" fontId="1" fillId="2" borderId="44" xfId="0" applyFont="1" applyFill="1" applyBorder="1" applyAlignment="1" applyProtection="1">
      <alignment vertical="top"/>
      <protection hidden="1"/>
    </xf>
    <xf numFmtId="0" fontId="1" fillId="2" borderId="40" xfId="0" applyFont="1" applyFill="1" applyBorder="1" applyAlignment="1" applyProtection="1">
      <alignment vertical="top"/>
      <protection hidden="1"/>
    </xf>
    <xf numFmtId="0" fontId="2" fillId="2" borderId="41" xfId="0" quotePrefix="1" applyFont="1" applyFill="1" applyBorder="1" applyAlignment="1" applyProtection="1">
      <alignment vertical="top"/>
      <protection hidden="1"/>
    </xf>
    <xf numFmtId="0" fontId="1" fillId="2" borderId="46" xfId="0" applyFont="1" applyFill="1" applyBorder="1" applyAlignment="1" applyProtection="1">
      <alignment vertical="top"/>
      <protection hidden="1"/>
    </xf>
    <xf numFmtId="0" fontId="2" fillId="2" borderId="36" xfId="0" quotePrefix="1" applyFont="1" applyFill="1" applyBorder="1" applyAlignment="1" applyProtection="1">
      <alignment vertical="top"/>
      <protection hidden="1"/>
    </xf>
    <xf numFmtId="0" fontId="13" fillId="5" borderId="0" xfId="0" applyFont="1" applyFill="1" applyAlignment="1" applyProtection="1">
      <alignment vertical="top"/>
      <protection hidden="1"/>
    </xf>
    <xf numFmtId="0" fontId="13" fillId="2" borderId="0" xfId="0" applyFont="1" applyFill="1" applyAlignment="1" applyProtection="1">
      <alignment vertical="top"/>
      <protection hidden="1"/>
    </xf>
    <xf numFmtId="0" fontId="12" fillId="2" borderId="0" xfId="0" applyFont="1" applyFill="1" applyAlignment="1" applyProtection="1">
      <alignment vertical="top"/>
      <protection hidden="1"/>
    </xf>
    <xf numFmtId="0" fontId="0" fillId="0" borderId="0" xfId="0" applyAlignment="1" applyProtection="1">
      <alignment vertical="top"/>
      <protection hidden="1"/>
    </xf>
    <xf numFmtId="0" fontId="14" fillId="7" borderId="0" xfId="0" applyFont="1" applyFill="1" applyAlignment="1" applyProtection="1">
      <alignment vertical="top"/>
      <protection hidden="1"/>
    </xf>
    <xf numFmtId="0" fontId="11" fillId="7" borderId="0" xfId="0" applyFont="1" applyFill="1" applyAlignment="1" applyProtection="1">
      <alignment vertical="top"/>
      <protection hidden="1"/>
    </xf>
    <xf numFmtId="0" fontId="5" fillId="2" borderId="0" xfId="0" applyFont="1" applyFill="1" applyAlignment="1" applyProtection="1">
      <alignment vertical="top"/>
      <protection hidden="1"/>
    </xf>
    <xf numFmtId="0" fontId="15" fillId="2" borderId="0" xfId="1" applyFont="1" applyFill="1" applyAlignment="1" applyProtection="1">
      <alignment vertical="top"/>
      <protection locked="0" hidden="1"/>
    </xf>
    <xf numFmtId="0" fontId="1" fillId="2" borderId="18" xfId="0" applyFont="1" applyFill="1" applyBorder="1" applyAlignment="1" applyProtection="1">
      <alignment horizontal="center" vertical="top"/>
      <protection locked="0" hidden="1"/>
    </xf>
    <xf numFmtId="0" fontId="3" fillId="3" borderId="43" xfId="0" applyFont="1" applyFill="1" applyBorder="1" applyAlignment="1" applyProtection="1">
      <alignment horizontal="center" vertical="top" wrapText="1"/>
      <protection hidden="1"/>
    </xf>
    <xf numFmtId="0" fontId="3" fillId="3" borderId="46" xfId="0" applyFont="1" applyFill="1" applyBorder="1" applyAlignment="1" applyProtection="1">
      <alignment vertical="center" wrapText="1"/>
      <protection hidden="1"/>
    </xf>
    <xf numFmtId="0" fontId="4" fillId="4" borderId="48" xfId="0" applyFont="1" applyFill="1" applyBorder="1" applyAlignment="1" applyProtection="1">
      <alignment horizontal="center" vertical="top"/>
      <protection hidden="1"/>
    </xf>
    <xf numFmtId="0" fontId="4" fillId="4" borderId="9" xfId="0" applyFont="1" applyFill="1" applyBorder="1" applyAlignment="1" applyProtection="1">
      <alignment horizontal="center" vertical="top"/>
      <protection hidden="1"/>
    </xf>
    <xf numFmtId="167" fontId="6" fillId="2" borderId="29" xfId="0" applyNumberFormat="1" applyFont="1" applyFill="1" applyBorder="1" applyAlignment="1" applyProtection="1">
      <alignment horizontal="center" vertical="top"/>
      <protection locked="0" hidden="1"/>
    </xf>
    <xf numFmtId="0" fontId="1" fillId="2" borderId="6" xfId="0" applyFont="1" applyFill="1" applyBorder="1" applyAlignment="1" applyProtection="1">
      <alignment horizontal="center" vertical="center"/>
      <protection locked="0" hidden="1"/>
    </xf>
    <xf numFmtId="0" fontId="1" fillId="2" borderId="1" xfId="0" applyFont="1" applyFill="1" applyBorder="1" applyAlignment="1" applyProtection="1">
      <alignment horizontal="center" vertical="center"/>
      <protection locked="0" hidden="1"/>
    </xf>
    <xf numFmtId="0" fontId="1" fillId="2" borderId="1" xfId="0" applyFont="1" applyFill="1" applyBorder="1" applyAlignment="1" applyProtection="1">
      <alignment horizontal="center" vertical="top"/>
      <protection locked="0" hidden="1"/>
    </xf>
    <xf numFmtId="0" fontId="1" fillId="2" borderId="18" xfId="0" applyFont="1" applyFill="1" applyBorder="1" applyAlignment="1" applyProtection="1">
      <alignment horizontal="center" vertical="center"/>
      <protection locked="0" hidden="1"/>
    </xf>
    <xf numFmtId="0" fontId="1" fillId="2" borderId="21" xfId="0" applyFont="1" applyFill="1" applyBorder="1" applyAlignment="1" applyProtection="1">
      <alignment horizontal="center" vertical="top"/>
      <protection locked="0" hidden="1"/>
    </xf>
    <xf numFmtId="0" fontId="1" fillId="2" borderId="47" xfId="0" applyFont="1" applyFill="1" applyBorder="1" applyAlignment="1" applyProtection="1">
      <alignment horizontal="center" vertical="top"/>
      <protection locked="0" hidden="1"/>
    </xf>
    <xf numFmtId="0" fontId="1" fillId="2" borderId="48" xfId="0" applyFont="1" applyFill="1" applyBorder="1" applyAlignment="1" applyProtection="1">
      <alignment horizontal="center" vertical="top"/>
      <protection locked="0" hidden="1"/>
    </xf>
    <xf numFmtId="0" fontId="1" fillId="2" borderId="3" xfId="0" applyFont="1" applyFill="1" applyBorder="1" applyAlignment="1" applyProtection="1">
      <alignment horizontal="center" vertical="center"/>
      <protection hidden="1"/>
    </xf>
    <xf numFmtId="0" fontId="16" fillId="2" borderId="0" xfId="0" applyFont="1" applyFill="1" applyAlignment="1" applyProtection="1">
      <alignment vertical="top"/>
      <protection hidden="1"/>
    </xf>
    <xf numFmtId="0" fontId="3" fillId="3" borderId="49" xfId="0" applyFont="1" applyFill="1" applyBorder="1" applyAlignment="1" applyProtection="1">
      <alignment horizontal="center" vertical="top" wrapText="1"/>
      <protection hidden="1"/>
    </xf>
    <xf numFmtId="0" fontId="3" fillId="3" borderId="50" xfId="0" applyFont="1" applyFill="1" applyBorder="1" applyAlignment="1" applyProtection="1">
      <alignment vertical="center" wrapText="1"/>
      <protection hidden="1"/>
    </xf>
    <xf numFmtId="0" fontId="4" fillId="4" borderId="56" xfId="0" applyFont="1" applyFill="1" applyBorder="1" applyAlignment="1" applyProtection="1">
      <alignment horizontal="center" vertical="top"/>
      <protection hidden="1"/>
    </xf>
    <xf numFmtId="0" fontId="4" fillId="4" borderId="57" xfId="0" applyFont="1" applyFill="1" applyBorder="1" applyAlignment="1" applyProtection="1">
      <alignment horizontal="center" vertical="top"/>
      <protection hidden="1"/>
    </xf>
    <xf numFmtId="0" fontId="4" fillId="4" borderId="11" xfId="0" applyFont="1" applyFill="1" applyBorder="1" applyAlignment="1" applyProtection="1">
      <alignment horizontal="center" vertical="top"/>
      <protection hidden="1"/>
    </xf>
    <xf numFmtId="0" fontId="4" fillId="4" borderId="18" xfId="0" applyFont="1" applyFill="1" applyBorder="1" applyAlignment="1" applyProtection="1">
      <alignment horizontal="center" vertical="top"/>
      <protection hidden="1"/>
    </xf>
    <xf numFmtId="0" fontId="3" fillId="3" borderId="4" xfId="0" applyFont="1" applyFill="1" applyBorder="1" applyAlignment="1" applyProtection="1">
      <alignment vertical="center" wrapText="1"/>
      <protection hidden="1"/>
    </xf>
    <xf numFmtId="0" fontId="3" fillId="3" borderId="34" xfId="0" applyFont="1" applyFill="1" applyBorder="1" applyAlignment="1" applyProtection="1">
      <alignment horizontal="center" vertical="center" wrapText="1"/>
      <protection hidden="1"/>
    </xf>
    <xf numFmtId="0" fontId="2" fillId="2" borderId="1" xfId="0" applyFont="1" applyFill="1" applyBorder="1" applyAlignment="1" applyProtection="1">
      <alignment vertical="top"/>
      <protection hidden="1"/>
    </xf>
    <xf numFmtId="0" fontId="1" fillId="2" borderId="60" xfId="0" applyFont="1" applyFill="1" applyBorder="1" applyAlignment="1" applyProtection="1">
      <alignment vertical="top"/>
      <protection hidden="1"/>
    </xf>
    <xf numFmtId="0" fontId="2" fillId="2" borderId="60" xfId="0" quotePrefix="1" applyFont="1" applyFill="1" applyBorder="1" applyAlignment="1" applyProtection="1">
      <alignment horizontal="right" vertical="top"/>
      <protection hidden="1"/>
    </xf>
    <xf numFmtId="0" fontId="8" fillId="2" borderId="1" xfId="1" applyFont="1" applyFill="1" applyBorder="1" applyAlignment="1" applyProtection="1">
      <alignment horizontal="center" vertical="top"/>
      <protection locked="0" hidden="1"/>
    </xf>
    <xf numFmtId="0" fontId="2" fillId="2" borderId="0" xfId="0" quotePrefix="1" applyFont="1" applyFill="1" applyAlignment="1" applyProtection="1">
      <alignment horizontal="right" vertical="top"/>
      <protection hidden="1"/>
    </xf>
    <xf numFmtId="0" fontId="8" fillId="2" borderId="3" xfId="1" applyFont="1" applyFill="1" applyBorder="1" applyAlignment="1" applyProtection="1">
      <alignment horizontal="center" vertical="top"/>
      <protection locked="0" hidden="1"/>
    </xf>
    <xf numFmtId="0" fontId="3" fillId="3" borderId="7" xfId="0" applyFont="1" applyFill="1" applyBorder="1" applyAlignment="1" applyProtection="1">
      <alignment horizontal="center" vertical="top"/>
      <protection hidden="1"/>
    </xf>
    <xf numFmtId="0" fontId="1" fillId="2" borderId="55" xfId="0" applyFont="1" applyFill="1" applyBorder="1" applyAlignment="1" applyProtection="1">
      <alignment vertical="top"/>
      <protection hidden="1"/>
    </xf>
    <xf numFmtId="0" fontId="1" fillId="2" borderId="5" xfId="0" applyFont="1" applyFill="1" applyBorder="1" applyAlignment="1" applyProtection="1">
      <alignment horizontal="center" vertical="center"/>
      <protection locked="0" hidden="1"/>
    </xf>
    <xf numFmtId="0" fontId="1" fillId="2" borderId="0" xfId="0" applyFont="1" applyFill="1" applyAlignment="1" applyProtection="1">
      <alignment vertical="top"/>
      <protection locked="0" hidden="1"/>
    </xf>
    <xf numFmtId="0" fontId="1" fillId="2" borderId="3" xfId="0" applyFont="1" applyFill="1" applyBorder="1" applyAlignment="1" applyProtection="1">
      <alignment horizontal="center" vertical="center"/>
      <protection locked="0" hidden="1"/>
    </xf>
    <xf numFmtId="0" fontId="1" fillId="2" borderId="3" xfId="0" applyFont="1" applyFill="1" applyBorder="1" applyAlignment="1" applyProtection="1">
      <alignment horizontal="center" vertical="top"/>
      <protection locked="0" hidden="1"/>
    </xf>
    <xf numFmtId="0" fontId="1" fillId="2" borderId="17" xfId="0" applyFont="1" applyFill="1" applyBorder="1" applyAlignment="1" applyProtection="1">
      <alignment horizontal="center" vertical="center"/>
      <protection locked="0" hidden="1"/>
    </xf>
    <xf numFmtId="0" fontId="1" fillId="2" borderId="55" xfId="0" applyFont="1" applyFill="1" applyBorder="1" applyAlignment="1" applyProtection="1">
      <alignment horizontal="center" vertical="top"/>
      <protection locked="0" hidden="1"/>
    </xf>
    <xf numFmtId="0" fontId="1" fillId="2" borderId="17" xfId="0" applyFont="1" applyFill="1" applyBorder="1" applyAlignment="1" applyProtection="1">
      <alignment horizontal="center" vertical="top"/>
      <protection locked="0" hidden="1"/>
    </xf>
    <xf numFmtId="0" fontId="1" fillId="2" borderId="0" xfId="0" applyFont="1" applyFill="1" applyAlignment="1" applyProtection="1">
      <alignment horizontal="center" vertical="top"/>
      <protection locked="0" hidden="1"/>
    </xf>
    <xf numFmtId="0" fontId="1" fillId="2" borderId="0" xfId="0" quotePrefix="1" applyFont="1" applyFill="1" applyAlignment="1" applyProtection="1">
      <alignment vertical="top"/>
      <protection locked="0" hidden="1"/>
    </xf>
    <xf numFmtId="0" fontId="1" fillId="2" borderId="45" xfId="0" applyFont="1" applyFill="1" applyBorder="1" applyAlignment="1" applyProtection="1">
      <alignment vertical="top"/>
      <protection hidden="1"/>
    </xf>
    <xf numFmtId="0" fontId="17" fillId="2" borderId="1" xfId="1" applyFont="1" applyFill="1" applyBorder="1" applyAlignment="1" applyProtection="1">
      <alignment horizontal="center" vertical="top"/>
      <protection locked="0" hidden="1"/>
    </xf>
    <xf numFmtId="0" fontId="18" fillId="2" borderId="13" xfId="1" applyFont="1" applyFill="1" applyBorder="1" applyAlignment="1" applyProtection="1">
      <alignment horizontal="center" vertical="top"/>
      <protection locked="0" hidden="1"/>
    </xf>
    <xf numFmtId="0" fontId="19" fillId="0" borderId="0" xfId="1" applyFont="1" applyFill="1" applyAlignment="1" applyProtection="1">
      <alignment vertical="top"/>
      <protection locked="0" hidden="1"/>
    </xf>
    <xf numFmtId="0" fontId="3" fillId="2" borderId="1" xfId="2" applyFont="1" applyFill="1" applyBorder="1" applyAlignment="1">
      <alignment horizontal="center" vertical="center"/>
    </xf>
    <xf numFmtId="0" fontId="2" fillId="2" borderId="1" xfId="3" applyFont="1" applyFill="1" applyBorder="1" applyAlignment="1">
      <alignment horizontal="center" vertical="center"/>
    </xf>
    <xf numFmtId="0" fontId="22" fillId="2" borderId="1" xfId="3" applyFont="1" applyFill="1" applyBorder="1" applyAlignment="1">
      <alignment horizontal="center" vertical="center"/>
    </xf>
    <xf numFmtId="0" fontId="23" fillId="2" borderId="1" xfId="2" applyFont="1" applyFill="1" applyBorder="1" applyAlignment="1">
      <alignment horizontal="center" vertical="center"/>
    </xf>
    <xf numFmtId="0" fontId="2" fillId="2" borderId="1" xfId="2" applyFont="1" applyFill="1" applyBorder="1" applyAlignment="1">
      <alignment horizontal="center" vertical="center"/>
    </xf>
    <xf numFmtId="14" fontId="1" fillId="0" borderId="1" xfId="0" applyNumberFormat="1" applyFont="1" applyBorder="1" applyAlignment="1" applyProtection="1">
      <alignment horizontal="right" vertical="top"/>
      <protection hidden="1"/>
    </xf>
    <xf numFmtId="0" fontId="3" fillId="3" borderId="28" xfId="0" applyFont="1" applyFill="1" applyBorder="1" applyAlignment="1" applyProtection="1">
      <alignment horizontal="center" vertical="top"/>
      <protection hidden="1"/>
    </xf>
    <xf numFmtId="0" fontId="3" fillId="3" borderId="31" xfId="0" applyFont="1" applyFill="1" applyBorder="1" applyAlignment="1" applyProtection="1">
      <alignment horizontal="center" vertical="top"/>
      <protection hidden="1"/>
    </xf>
    <xf numFmtId="0" fontId="1" fillId="2" borderId="33" xfId="0" quotePrefix="1" applyFont="1" applyFill="1" applyBorder="1" applyAlignment="1" applyProtection="1">
      <alignment horizontal="center" vertical="center"/>
      <protection hidden="1"/>
    </xf>
    <xf numFmtId="0" fontId="1" fillId="2" borderId="61" xfId="0" quotePrefix="1" applyFont="1" applyFill="1" applyBorder="1" applyAlignment="1" applyProtection="1">
      <alignment horizontal="center" vertical="center"/>
      <protection hidden="1"/>
    </xf>
    <xf numFmtId="0" fontId="1" fillId="2" borderId="34" xfId="0" quotePrefix="1" applyFont="1" applyFill="1" applyBorder="1" applyAlignment="1" applyProtection="1">
      <alignment horizontal="center" vertical="center"/>
      <protection hidden="1"/>
    </xf>
    <xf numFmtId="0" fontId="1" fillId="2" borderId="33" xfId="0" applyFont="1" applyFill="1" applyBorder="1" applyAlignment="1" applyProtection="1">
      <alignment horizontal="center" vertical="center"/>
      <protection locked="0" hidden="1"/>
    </xf>
    <xf numFmtId="0" fontId="1" fillId="2" borderId="34" xfId="0" applyFont="1" applyFill="1" applyBorder="1" applyAlignment="1" applyProtection="1">
      <alignment horizontal="center" vertical="center"/>
      <protection locked="0" hidden="1"/>
    </xf>
    <xf numFmtId="0" fontId="4" fillId="4" borderId="20" xfId="0" applyFont="1" applyFill="1" applyBorder="1" applyAlignment="1" applyProtection="1">
      <alignment horizontal="center" vertical="center"/>
      <protection hidden="1"/>
    </xf>
    <xf numFmtId="0" fontId="4" fillId="4" borderId="23" xfId="0" applyFont="1" applyFill="1" applyBorder="1" applyAlignment="1" applyProtection="1">
      <alignment horizontal="center" vertical="center"/>
      <protection hidden="1"/>
    </xf>
    <xf numFmtId="0" fontId="4" fillId="4" borderId="10" xfId="0" applyFont="1" applyFill="1" applyBorder="1" applyAlignment="1" applyProtection="1">
      <alignment horizontal="center" vertical="center"/>
      <protection hidden="1"/>
    </xf>
    <xf numFmtId="0" fontId="4" fillId="4" borderId="14" xfId="0" applyFont="1" applyFill="1" applyBorder="1" applyAlignment="1" applyProtection="1">
      <alignment horizontal="center" vertical="center"/>
      <protection hidden="1"/>
    </xf>
    <xf numFmtId="0" fontId="4" fillId="4" borderId="51" xfId="0" applyFont="1" applyFill="1" applyBorder="1" applyAlignment="1" applyProtection="1">
      <alignment horizontal="center" vertical="center"/>
      <protection hidden="1"/>
    </xf>
    <xf numFmtId="0" fontId="4" fillId="4" borderId="53" xfId="0" applyFont="1" applyFill="1" applyBorder="1" applyAlignment="1" applyProtection="1">
      <alignment horizontal="center" vertical="center"/>
      <protection hidden="1"/>
    </xf>
    <xf numFmtId="0" fontId="4" fillId="4" borderId="11" xfId="0" applyFont="1" applyFill="1" applyBorder="1" applyAlignment="1" applyProtection="1">
      <alignment horizontal="center" vertical="center"/>
      <protection hidden="1"/>
    </xf>
    <xf numFmtId="0" fontId="4" fillId="4" borderId="15" xfId="0" applyFont="1" applyFill="1" applyBorder="1" applyAlignment="1" applyProtection="1">
      <alignment horizontal="center" vertical="center"/>
      <protection hidden="1"/>
    </xf>
    <xf numFmtId="0" fontId="2" fillId="3" borderId="26" xfId="0" applyFont="1" applyFill="1" applyBorder="1" applyAlignment="1" applyProtection="1">
      <alignment horizontal="center" vertical="center"/>
      <protection hidden="1"/>
    </xf>
    <xf numFmtId="0" fontId="2" fillId="3" borderId="27" xfId="0" applyFont="1" applyFill="1" applyBorder="1" applyAlignment="1" applyProtection="1">
      <alignment horizontal="center" vertical="center"/>
      <protection hidden="1"/>
    </xf>
    <xf numFmtId="0" fontId="1" fillId="2" borderId="8" xfId="0" applyFont="1" applyFill="1" applyBorder="1" applyAlignment="1" applyProtection="1">
      <alignment horizontal="center" vertical="center"/>
      <protection hidden="1"/>
    </xf>
    <xf numFmtId="0" fontId="1" fillId="2" borderId="12" xfId="0" applyFont="1" applyFill="1" applyBorder="1" applyAlignment="1" applyProtection="1">
      <alignment horizontal="center" vertical="center"/>
      <protection hidden="1"/>
    </xf>
    <xf numFmtId="0" fontId="1" fillId="2" borderId="9" xfId="0" applyFont="1" applyFill="1" applyBorder="1" applyAlignment="1" applyProtection="1">
      <alignment horizontal="center" vertical="center"/>
      <protection locked="0"/>
    </xf>
    <xf numFmtId="0" fontId="1" fillId="2" borderId="13" xfId="0" applyFont="1" applyFill="1" applyBorder="1" applyAlignment="1" applyProtection="1">
      <alignment horizontal="center" vertical="center"/>
      <protection locked="0"/>
    </xf>
    <xf numFmtId="0" fontId="1" fillId="2" borderId="33" xfId="0" applyFont="1" applyFill="1" applyBorder="1" applyAlignment="1" applyProtection="1">
      <alignment horizontal="center" vertical="center"/>
      <protection locked="0"/>
    </xf>
    <xf numFmtId="0" fontId="1" fillId="2" borderId="34" xfId="0" applyFont="1" applyFill="1" applyBorder="1" applyAlignment="1" applyProtection="1">
      <alignment horizontal="center" vertical="center"/>
      <protection locked="0"/>
    </xf>
    <xf numFmtId="0" fontId="1" fillId="2" borderId="42" xfId="0" applyFont="1" applyFill="1" applyBorder="1" applyAlignment="1" applyProtection="1">
      <alignment horizontal="center" vertical="center"/>
      <protection locked="0" hidden="1"/>
    </xf>
    <xf numFmtId="0" fontId="1" fillId="2" borderId="45" xfId="0" applyFont="1" applyFill="1" applyBorder="1" applyAlignment="1" applyProtection="1">
      <alignment horizontal="center" vertical="center"/>
      <protection locked="0" hidden="1"/>
    </xf>
    <xf numFmtId="0" fontId="1" fillId="2" borderId="9" xfId="0" applyFont="1" applyFill="1" applyBorder="1" applyAlignment="1" applyProtection="1">
      <alignment horizontal="center" vertical="center"/>
      <protection locked="0" hidden="1"/>
    </xf>
    <xf numFmtId="0" fontId="1" fillId="2" borderId="13" xfId="0" applyFont="1" applyFill="1" applyBorder="1" applyAlignment="1" applyProtection="1">
      <alignment horizontal="center" vertical="center"/>
      <protection locked="0" hidden="1"/>
    </xf>
    <xf numFmtId="0" fontId="1" fillId="2" borderId="58" xfId="0" applyFont="1" applyFill="1" applyBorder="1" applyAlignment="1" applyProtection="1">
      <alignment horizontal="center" vertical="center"/>
      <protection locked="0" hidden="1"/>
    </xf>
    <xf numFmtId="0" fontId="1" fillId="2" borderId="59" xfId="0" applyFont="1" applyFill="1" applyBorder="1" applyAlignment="1" applyProtection="1">
      <alignment horizontal="center" vertical="center"/>
      <protection locked="0" hidden="1"/>
    </xf>
    <xf numFmtId="0" fontId="5" fillId="6" borderId="28" xfId="0" applyFont="1" applyFill="1" applyBorder="1" applyAlignment="1" applyProtection="1">
      <alignment horizontal="center" vertical="top" wrapText="1"/>
      <protection hidden="1"/>
    </xf>
    <xf numFmtId="0" fontId="5" fillId="6" borderId="31" xfId="0" applyFont="1" applyFill="1" applyBorder="1" applyAlignment="1" applyProtection="1">
      <alignment horizontal="center" vertical="top" wrapText="1"/>
      <protection hidden="1"/>
    </xf>
    <xf numFmtId="0" fontId="5" fillId="6" borderId="32" xfId="0" applyFont="1" applyFill="1" applyBorder="1" applyAlignment="1" applyProtection="1">
      <alignment horizontal="center" vertical="top" wrapText="1"/>
      <protection hidden="1"/>
    </xf>
    <xf numFmtId="0" fontId="3" fillId="3" borderId="21" xfId="0" applyFont="1" applyFill="1" applyBorder="1" applyAlignment="1" applyProtection="1">
      <alignment horizontal="center" vertical="center" wrapText="1"/>
      <protection hidden="1"/>
    </xf>
    <xf numFmtId="0" fontId="3" fillId="3" borderId="19" xfId="0" applyFont="1" applyFill="1" applyBorder="1" applyAlignment="1" applyProtection="1">
      <alignment horizontal="center" vertical="center" wrapText="1"/>
      <protection hidden="1"/>
    </xf>
    <xf numFmtId="0" fontId="3" fillId="3" borderId="20" xfId="0" applyFont="1" applyFill="1" applyBorder="1" applyAlignment="1" applyProtection="1">
      <alignment horizontal="center" vertical="center" wrapText="1"/>
      <protection hidden="1"/>
    </xf>
    <xf numFmtId="0" fontId="3" fillId="3" borderId="10" xfId="0" applyFont="1" applyFill="1" applyBorder="1" applyAlignment="1" applyProtection="1">
      <alignment horizontal="center" vertical="center" wrapText="1"/>
      <protection hidden="1"/>
    </xf>
    <xf numFmtId="0" fontId="3" fillId="3" borderId="51" xfId="0" applyFont="1" applyFill="1" applyBorder="1" applyAlignment="1" applyProtection="1">
      <alignment horizontal="center" vertical="center" wrapText="1"/>
      <protection hidden="1"/>
    </xf>
    <xf numFmtId="0" fontId="3" fillId="3" borderId="1" xfId="0" applyFont="1" applyFill="1" applyBorder="1" applyAlignment="1" applyProtection="1">
      <alignment horizontal="center" vertical="center" wrapText="1"/>
      <protection hidden="1"/>
    </xf>
    <xf numFmtId="0" fontId="3" fillId="3" borderId="2" xfId="0" applyFont="1" applyFill="1" applyBorder="1" applyAlignment="1" applyProtection="1">
      <alignment horizontal="center" vertical="center" wrapText="1"/>
      <protection hidden="1"/>
    </xf>
    <xf numFmtId="0" fontId="3" fillId="3" borderId="48" xfId="0" applyFont="1" applyFill="1" applyBorder="1" applyAlignment="1" applyProtection="1">
      <alignment horizontal="center" vertical="center" wrapText="1"/>
      <protection hidden="1"/>
    </xf>
    <xf numFmtId="0" fontId="3" fillId="3" borderId="52" xfId="0" applyFont="1" applyFill="1" applyBorder="1" applyAlignment="1" applyProtection="1">
      <alignment horizontal="center" vertical="center" wrapText="1"/>
      <protection hidden="1"/>
    </xf>
    <xf numFmtId="0" fontId="1" fillId="2" borderId="33" xfId="0" applyFont="1" applyFill="1" applyBorder="1" applyAlignment="1" applyProtection="1">
      <alignment horizontal="center" vertical="center"/>
      <protection hidden="1"/>
    </xf>
    <xf numFmtId="0" fontId="1" fillId="2" borderId="34" xfId="0" applyFont="1" applyFill="1" applyBorder="1" applyAlignment="1" applyProtection="1">
      <alignment horizontal="center" vertical="center"/>
      <protection hidden="1"/>
    </xf>
    <xf numFmtId="0" fontId="1" fillId="2" borderId="42" xfId="0" applyFont="1" applyFill="1" applyBorder="1" applyAlignment="1" applyProtection="1">
      <alignment horizontal="center" vertical="center"/>
      <protection hidden="1"/>
    </xf>
    <xf numFmtId="0" fontId="1" fillId="2" borderId="45" xfId="0" applyFont="1" applyFill="1" applyBorder="1" applyAlignment="1" applyProtection="1">
      <alignment horizontal="center" vertical="center"/>
      <protection hidden="1"/>
    </xf>
    <xf numFmtId="0" fontId="1" fillId="2" borderId="9" xfId="0" applyFont="1" applyFill="1" applyBorder="1" applyAlignment="1" applyProtection="1">
      <alignment horizontal="center" vertical="center"/>
      <protection hidden="1"/>
    </xf>
    <xf numFmtId="0" fontId="1" fillId="2" borderId="13" xfId="0" applyFont="1" applyFill="1" applyBorder="1" applyAlignment="1" applyProtection="1">
      <alignment horizontal="center" vertical="center"/>
      <protection hidden="1"/>
    </xf>
    <xf numFmtId="0" fontId="1" fillId="2" borderId="58" xfId="0" applyFont="1" applyFill="1" applyBorder="1" applyAlignment="1" applyProtection="1">
      <alignment horizontal="center" vertical="center"/>
      <protection hidden="1"/>
    </xf>
    <xf numFmtId="0" fontId="1" fillId="2" borderId="59" xfId="0" applyFont="1" applyFill="1" applyBorder="1" applyAlignment="1" applyProtection="1">
      <alignment horizontal="center" vertical="center"/>
      <protection hidden="1"/>
    </xf>
    <xf numFmtId="0" fontId="1" fillId="2" borderId="24" xfId="0" applyFont="1" applyFill="1" applyBorder="1" applyAlignment="1" applyProtection="1">
      <alignment horizontal="left" wrapText="1"/>
      <protection hidden="1"/>
    </xf>
    <xf numFmtId="0" fontId="1" fillId="2" borderId="25" xfId="0" applyFont="1" applyFill="1" applyBorder="1" applyAlignment="1" applyProtection="1">
      <alignment horizontal="left" wrapText="1"/>
      <protection hidden="1"/>
    </xf>
    <xf numFmtId="0" fontId="6" fillId="3" borderId="28" xfId="0" applyFont="1" applyFill="1" applyBorder="1" applyAlignment="1" applyProtection="1">
      <alignment horizontal="center" vertical="center" wrapText="1"/>
      <protection hidden="1"/>
    </xf>
    <xf numFmtId="0" fontId="6" fillId="3" borderId="31" xfId="0" applyFont="1" applyFill="1" applyBorder="1" applyAlignment="1" applyProtection="1">
      <alignment horizontal="center" vertical="center" wrapText="1"/>
      <protection hidden="1"/>
    </xf>
    <xf numFmtId="0" fontId="3" fillId="3" borderId="26" xfId="0" applyFont="1" applyFill="1" applyBorder="1" applyAlignment="1" applyProtection="1">
      <alignment horizontal="center" vertical="center" wrapText="1"/>
      <protection hidden="1"/>
    </xf>
    <xf numFmtId="0" fontId="3" fillId="3" borderId="39" xfId="0" applyFont="1" applyFill="1" applyBorder="1" applyAlignment="1" applyProtection="1">
      <alignment horizontal="center" vertical="center" wrapText="1"/>
      <protection hidden="1"/>
    </xf>
    <xf numFmtId="0" fontId="3" fillId="3" borderId="54" xfId="0" applyFont="1" applyFill="1" applyBorder="1" applyAlignment="1" applyProtection="1">
      <alignment horizontal="center" vertical="center" wrapText="1"/>
      <protection hidden="1"/>
    </xf>
    <xf numFmtId="0" fontId="3" fillId="3" borderId="11" xfId="0" applyFont="1" applyFill="1" applyBorder="1" applyAlignment="1" applyProtection="1">
      <alignment horizontal="center" vertical="center" wrapText="1"/>
      <protection hidden="1"/>
    </xf>
    <xf numFmtId="0" fontId="3" fillId="3" borderId="18" xfId="0" applyFont="1" applyFill="1" applyBorder="1" applyAlignment="1" applyProtection="1">
      <alignment horizontal="center" vertical="center" wrapText="1"/>
      <protection hidden="1"/>
    </xf>
    <xf numFmtId="0" fontId="3" fillId="3" borderId="22" xfId="0" applyFont="1" applyFill="1" applyBorder="1" applyAlignment="1" applyProtection="1">
      <alignment horizontal="center" vertical="center" wrapText="1"/>
      <protection hidden="1"/>
    </xf>
    <xf numFmtId="0" fontId="4" fillId="4" borderId="8" xfId="0" applyFont="1" applyFill="1" applyBorder="1" applyAlignment="1" applyProtection="1">
      <alignment horizontal="center" vertical="center"/>
      <protection hidden="1"/>
    </xf>
    <xf numFmtId="0" fontId="4" fillId="4" borderId="12" xfId="0" applyFont="1" applyFill="1" applyBorder="1" applyAlignment="1" applyProtection="1">
      <alignment horizontal="center" vertical="center"/>
      <protection hidden="1"/>
    </xf>
    <xf numFmtId="0" fontId="4" fillId="4" borderId="9" xfId="0" applyFont="1" applyFill="1" applyBorder="1" applyAlignment="1" applyProtection="1">
      <alignment horizontal="center" vertical="center"/>
      <protection hidden="1"/>
    </xf>
    <xf numFmtId="0" fontId="4" fillId="4" borderId="13" xfId="0" applyFont="1" applyFill="1" applyBorder="1" applyAlignment="1" applyProtection="1">
      <alignment horizontal="center" vertical="center"/>
      <protection hidden="1"/>
    </xf>
    <xf numFmtId="0" fontId="5" fillId="6" borderId="28" xfId="0" applyFont="1" applyFill="1" applyBorder="1" applyAlignment="1" applyProtection="1">
      <alignment horizontal="center" vertical="center" wrapText="1"/>
      <protection hidden="1"/>
    </xf>
    <xf numFmtId="0" fontId="5" fillId="6" borderId="31" xfId="0" applyFont="1" applyFill="1" applyBorder="1" applyAlignment="1" applyProtection="1">
      <alignment horizontal="center" vertical="center"/>
      <protection hidden="1"/>
    </xf>
    <xf numFmtId="0" fontId="5" fillId="6" borderId="32" xfId="0" applyFont="1" applyFill="1" applyBorder="1" applyAlignment="1" applyProtection="1">
      <alignment horizontal="center" vertical="center"/>
      <protection hidden="1"/>
    </xf>
  </cellXfs>
  <cellStyles count="4">
    <cellStyle name="Hyperlink" xfId="1" builtinId="8"/>
    <cellStyle name="Normal" xfId="0" builtinId="0"/>
    <cellStyle name="Normal 2 2" xfId="2" xr:uid="{AF05963E-7B08-4A91-A9B6-03352092B231}"/>
    <cellStyle name="Normal 3" xfId="3" xr:uid="{A19B242C-434C-428A-B1B2-31F23B027C61}"/>
  </cellStyles>
  <dxfs count="541">
    <dxf>
      <font>
        <color theme="0"/>
      </font>
    </dxf>
    <dxf>
      <font>
        <color rgb="FFFFFF00"/>
      </font>
      <fill>
        <patternFill>
          <bgColor rgb="FFFFFF00"/>
        </patternFill>
      </fill>
    </dxf>
    <dxf>
      <font>
        <color rgb="FFFFFF00"/>
      </font>
      <fill>
        <patternFill>
          <bgColor rgb="FFFFFF00"/>
        </patternFill>
      </fill>
    </dxf>
    <dxf>
      <font>
        <color rgb="FFFFFF00"/>
      </font>
      <fill>
        <patternFill>
          <bgColor rgb="FFFFFF00"/>
        </patternFill>
      </fill>
    </dxf>
    <dxf>
      <font>
        <color rgb="FFFFFF00"/>
      </font>
      <fill>
        <patternFill>
          <bgColor rgb="FFFFFF00"/>
        </patternFill>
      </fill>
    </dxf>
    <dxf>
      <font>
        <color rgb="FFFFFF00"/>
      </font>
    </dxf>
    <dxf>
      <font>
        <color theme="0"/>
      </font>
    </dxf>
    <dxf>
      <font>
        <color theme="0"/>
      </font>
    </dxf>
    <dxf>
      <font>
        <color theme="0"/>
      </font>
    </dxf>
    <dxf>
      <font>
        <color rgb="FFFFFF00"/>
      </font>
      <fill>
        <patternFill>
          <bgColor rgb="FFFFFF00"/>
        </patternFill>
      </fill>
    </dxf>
    <dxf>
      <font>
        <color rgb="FFFFFF00"/>
      </font>
      <fill>
        <patternFill>
          <bgColor rgb="FFFFFF00"/>
        </patternFill>
      </fill>
    </dxf>
    <dxf>
      <font>
        <color rgb="FFFFFF00"/>
      </font>
      <fill>
        <patternFill>
          <bgColor rgb="FFFFFF00"/>
        </patternFill>
      </fill>
    </dxf>
    <dxf>
      <font>
        <color rgb="FFFFFF00"/>
      </font>
      <fill>
        <patternFill>
          <bgColor rgb="FFFFFF00"/>
        </patternFill>
      </fill>
    </dxf>
    <dxf>
      <font>
        <color rgb="FFFFFF00"/>
      </font>
    </dxf>
    <dxf>
      <font>
        <color theme="0"/>
      </font>
    </dxf>
    <dxf>
      <font>
        <color theme="0"/>
      </font>
    </dxf>
    <dxf>
      <font>
        <color theme="0"/>
      </font>
    </dxf>
    <dxf>
      <font>
        <color rgb="FFFFFF00"/>
      </font>
      <fill>
        <patternFill>
          <bgColor rgb="FFFFFF00"/>
        </patternFill>
      </fill>
    </dxf>
    <dxf>
      <font>
        <color rgb="FFFFFF00"/>
      </font>
      <fill>
        <patternFill>
          <bgColor rgb="FFFFFF00"/>
        </patternFill>
      </fill>
    </dxf>
    <dxf>
      <font>
        <color rgb="FFFFFF00"/>
      </font>
      <fill>
        <patternFill>
          <bgColor rgb="FFFFFF00"/>
        </patternFill>
      </fill>
    </dxf>
    <dxf>
      <font>
        <color rgb="FFFFFF00"/>
      </font>
      <fill>
        <patternFill>
          <bgColor rgb="FFFFFF00"/>
        </patternFill>
      </fill>
    </dxf>
    <dxf>
      <font>
        <color rgb="FFFFFF00"/>
      </font>
    </dxf>
    <dxf>
      <font>
        <color theme="0"/>
      </font>
    </dxf>
    <dxf>
      <font>
        <color theme="0"/>
      </font>
    </dxf>
    <dxf>
      <font>
        <color theme="0"/>
      </font>
    </dxf>
    <dxf>
      <font>
        <color rgb="FFFFFF00"/>
      </font>
      <fill>
        <patternFill>
          <bgColor rgb="FFFFFF00"/>
        </patternFill>
      </fill>
    </dxf>
    <dxf>
      <font>
        <color rgb="FFFFFF00"/>
      </font>
      <fill>
        <patternFill>
          <bgColor rgb="FFFFFF00"/>
        </patternFill>
      </fill>
    </dxf>
    <dxf>
      <font>
        <color rgb="FFFFFF00"/>
      </font>
      <fill>
        <patternFill>
          <bgColor rgb="FFFFFF00"/>
        </patternFill>
      </fill>
    </dxf>
    <dxf>
      <font>
        <color rgb="FFFFFF00"/>
      </font>
      <fill>
        <patternFill>
          <bgColor rgb="FFFFFF00"/>
        </patternFill>
      </fill>
    </dxf>
    <dxf>
      <font>
        <color rgb="FFFFFF00"/>
      </font>
    </dxf>
    <dxf>
      <font>
        <color theme="0"/>
      </font>
    </dxf>
    <dxf>
      <font>
        <color theme="0"/>
      </font>
    </dxf>
    <dxf>
      <font>
        <color rgb="FFFFFF00"/>
      </font>
      <fill>
        <patternFill>
          <bgColor rgb="FFFFFF00"/>
        </patternFill>
      </fill>
    </dxf>
    <dxf>
      <font>
        <color rgb="FFFFFF00"/>
      </font>
      <fill>
        <patternFill>
          <bgColor rgb="FFFFFF00"/>
        </patternFill>
      </fill>
    </dxf>
    <dxf>
      <font>
        <color rgb="FFFFFF00"/>
      </font>
      <fill>
        <patternFill>
          <bgColor rgb="FFFFFF00"/>
        </patternFill>
      </fill>
    </dxf>
    <dxf>
      <font>
        <color rgb="FFFFFF00"/>
      </font>
      <fill>
        <patternFill>
          <bgColor rgb="FFFFFF00"/>
        </patternFill>
      </fill>
    </dxf>
    <dxf>
      <font>
        <color rgb="FFFFFF00"/>
      </font>
    </dxf>
    <dxf>
      <font>
        <color theme="0"/>
      </font>
    </dxf>
    <dxf>
      <font>
        <color theme="0"/>
      </font>
    </dxf>
    <dxf>
      <font>
        <color theme="0"/>
      </font>
    </dxf>
    <dxf>
      <font>
        <color rgb="FFFFFF00"/>
      </font>
      <fill>
        <patternFill>
          <bgColor rgb="FFFFFF00"/>
        </patternFill>
      </fill>
    </dxf>
    <dxf>
      <font>
        <color rgb="FFFFFF00"/>
      </font>
      <fill>
        <patternFill>
          <bgColor rgb="FFFFFF00"/>
        </patternFill>
      </fill>
    </dxf>
    <dxf>
      <font>
        <color rgb="FFFFFF00"/>
      </font>
      <fill>
        <patternFill>
          <bgColor rgb="FFFFFF00"/>
        </patternFill>
      </fill>
    </dxf>
    <dxf>
      <font>
        <color rgb="FFFFFF00"/>
      </font>
      <fill>
        <patternFill>
          <bgColor rgb="FFFFFF00"/>
        </patternFill>
      </fill>
    </dxf>
    <dxf>
      <font>
        <color rgb="FFFFFF00"/>
      </font>
    </dxf>
    <dxf>
      <font>
        <color theme="0"/>
      </font>
    </dxf>
    <dxf>
      <font>
        <color theme="0"/>
      </font>
    </dxf>
    <dxf>
      <font>
        <color theme="0"/>
      </font>
    </dxf>
    <dxf>
      <font>
        <color rgb="FFFFFF00"/>
      </font>
      <fill>
        <patternFill>
          <bgColor rgb="FFFFFF00"/>
        </patternFill>
      </fill>
    </dxf>
    <dxf>
      <font>
        <color rgb="FFFFFF00"/>
      </font>
      <fill>
        <patternFill>
          <bgColor rgb="FFFFFF00"/>
        </patternFill>
      </fill>
    </dxf>
    <dxf>
      <font>
        <color rgb="FFFFFF00"/>
      </font>
      <fill>
        <patternFill>
          <bgColor rgb="FFFFFF00"/>
        </patternFill>
      </fill>
    </dxf>
    <dxf>
      <font>
        <color rgb="FFFFFF00"/>
      </font>
      <fill>
        <patternFill>
          <bgColor rgb="FFFFFF00"/>
        </patternFill>
      </fill>
    </dxf>
    <dxf>
      <font>
        <color rgb="FFFFFF00"/>
      </font>
    </dxf>
    <dxf>
      <font>
        <color theme="0"/>
      </font>
    </dxf>
    <dxf>
      <font>
        <color theme="0"/>
      </font>
    </dxf>
    <dxf>
      <font>
        <color theme="0"/>
      </font>
    </dxf>
    <dxf>
      <font>
        <color rgb="FFFFFF00"/>
      </font>
      <fill>
        <patternFill>
          <bgColor rgb="FFFFFF00"/>
        </patternFill>
      </fill>
    </dxf>
    <dxf>
      <font>
        <color rgb="FFFFFF00"/>
      </font>
      <fill>
        <patternFill>
          <bgColor rgb="FFFFFF00"/>
        </patternFill>
      </fill>
    </dxf>
    <dxf>
      <font>
        <color rgb="FFFFFF00"/>
      </font>
      <fill>
        <patternFill>
          <bgColor rgb="FFFFFF00"/>
        </patternFill>
      </fill>
    </dxf>
    <dxf>
      <font>
        <color rgb="FFFFFF00"/>
      </font>
      <fill>
        <patternFill>
          <bgColor rgb="FFFFFF00"/>
        </patternFill>
      </fill>
    </dxf>
    <dxf>
      <font>
        <color rgb="FFFFFF00"/>
      </font>
    </dxf>
    <dxf>
      <font>
        <color theme="0"/>
      </font>
    </dxf>
    <dxf>
      <font>
        <color theme="0"/>
      </font>
    </dxf>
    <dxf>
      <font>
        <color theme="0"/>
      </font>
    </dxf>
    <dxf>
      <font>
        <color rgb="FFFFFF00"/>
      </font>
      <fill>
        <patternFill>
          <bgColor rgb="FFFFFF00"/>
        </patternFill>
      </fill>
    </dxf>
    <dxf>
      <font>
        <color rgb="FFFFFF00"/>
      </font>
      <fill>
        <patternFill>
          <bgColor rgb="FFFFFF00"/>
        </patternFill>
      </fill>
    </dxf>
    <dxf>
      <font>
        <color rgb="FFFFFF00"/>
      </font>
      <fill>
        <patternFill>
          <bgColor rgb="FFFFFF00"/>
        </patternFill>
      </fill>
    </dxf>
    <dxf>
      <font>
        <color rgb="FFFFFF00"/>
      </font>
      <fill>
        <patternFill>
          <bgColor rgb="FFFFFF00"/>
        </patternFill>
      </fill>
    </dxf>
    <dxf>
      <font>
        <color rgb="FFFFFF00"/>
      </font>
    </dxf>
    <dxf>
      <font>
        <color theme="0"/>
      </font>
    </dxf>
    <dxf>
      <font>
        <color theme="0"/>
      </font>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
      <fill>
        <patternFill>
          <bgColor theme="2" tint="-9.9948118533890809E-2"/>
        </patternFill>
      </fill>
    </dxf>
  </dxfs>
  <tableStyles count="0" defaultTableStyle="TableStyleMedium9"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24</xdr:row>
      <xdr:rowOff>0</xdr:rowOff>
    </xdr:from>
    <xdr:to>
      <xdr:col>8</xdr:col>
      <xdr:colOff>342200</xdr:colOff>
      <xdr:row>33</xdr:row>
      <xdr:rowOff>161690</xdr:rowOff>
    </xdr:to>
    <xdr:pic>
      <xdr:nvPicPr>
        <xdr:cNvPr id="4" name="Picture 3">
          <a:extLst>
            <a:ext uri="{FF2B5EF4-FFF2-40B4-BE49-F238E27FC236}">
              <a16:creationId xmlns:a16="http://schemas.microsoft.com/office/drawing/2014/main" id="{CA297533-F9C8-45EE-9AE2-A0610FD81273}"/>
            </a:ext>
          </a:extLst>
        </xdr:cNvPr>
        <xdr:cNvPicPr>
          <a:picLocks noChangeAspect="1"/>
        </xdr:cNvPicPr>
      </xdr:nvPicPr>
      <xdr:blipFill>
        <a:blip xmlns:r="http://schemas.openxmlformats.org/officeDocument/2006/relationships" r:embed="rId1"/>
        <a:stretch>
          <a:fillRect/>
        </a:stretch>
      </xdr:blipFill>
      <xdr:spPr>
        <a:xfrm>
          <a:off x="0" y="4572000"/>
          <a:ext cx="5600000" cy="1876190"/>
        </a:xfrm>
        <a:prstGeom prst="rect">
          <a:avLst/>
        </a:prstGeom>
        <a:ln>
          <a:noFill/>
        </a:ln>
        <a:effectLst>
          <a:outerShdw blurRad="190500" algn="tl" rotWithShape="0">
            <a:srgbClr val="000000">
              <a:alpha val="70000"/>
            </a:srgbClr>
          </a:outerShdw>
        </a:effectLst>
      </xdr:spPr>
    </xdr:pic>
    <xdr:clientData/>
  </xdr:twoCellAnchor>
  <xdr:twoCellAnchor editAs="oneCell">
    <xdr:from>
      <xdr:col>27</xdr:col>
      <xdr:colOff>0</xdr:colOff>
      <xdr:row>24</xdr:row>
      <xdr:rowOff>0</xdr:rowOff>
    </xdr:from>
    <xdr:to>
      <xdr:col>33</xdr:col>
      <xdr:colOff>590019</xdr:colOff>
      <xdr:row>33</xdr:row>
      <xdr:rowOff>95024</xdr:rowOff>
    </xdr:to>
    <xdr:pic>
      <xdr:nvPicPr>
        <xdr:cNvPr id="5" name="Picture 4">
          <a:extLst>
            <a:ext uri="{FF2B5EF4-FFF2-40B4-BE49-F238E27FC236}">
              <a16:creationId xmlns:a16="http://schemas.microsoft.com/office/drawing/2014/main" id="{AD3B5C82-9C80-4968-AC11-AB08C940645D}"/>
            </a:ext>
          </a:extLst>
        </xdr:cNvPr>
        <xdr:cNvPicPr>
          <a:picLocks noChangeAspect="1"/>
        </xdr:cNvPicPr>
      </xdr:nvPicPr>
      <xdr:blipFill>
        <a:blip xmlns:r="http://schemas.openxmlformats.org/officeDocument/2006/relationships" r:embed="rId2"/>
        <a:stretch>
          <a:fillRect/>
        </a:stretch>
      </xdr:blipFill>
      <xdr:spPr>
        <a:xfrm>
          <a:off x="9525000" y="4572000"/>
          <a:ext cx="4247619" cy="1809524"/>
        </a:xfrm>
        <a:prstGeom prst="rect">
          <a:avLst/>
        </a:prstGeom>
        <a:ln>
          <a:noFill/>
        </a:ln>
        <a:effectLst>
          <a:outerShdw blurRad="190500" algn="tl" rotWithShape="0">
            <a:srgbClr val="000000">
              <a:alpha val="70000"/>
            </a:srgbClr>
          </a:outerShdw>
        </a:effectLst>
      </xdr:spPr>
    </xdr:pic>
    <xdr:clientData/>
  </xdr:twoCellAnchor>
  <xdr:twoCellAnchor editAs="oneCell">
    <xdr:from>
      <xdr:col>27</xdr:col>
      <xdr:colOff>0</xdr:colOff>
      <xdr:row>49</xdr:row>
      <xdr:rowOff>0</xdr:rowOff>
    </xdr:from>
    <xdr:to>
      <xdr:col>54</xdr:col>
      <xdr:colOff>388404</xdr:colOff>
      <xdr:row>63</xdr:row>
      <xdr:rowOff>85381</xdr:rowOff>
    </xdr:to>
    <xdr:pic>
      <xdr:nvPicPr>
        <xdr:cNvPr id="7" name="Picture 6">
          <a:extLst>
            <a:ext uri="{FF2B5EF4-FFF2-40B4-BE49-F238E27FC236}">
              <a16:creationId xmlns:a16="http://schemas.microsoft.com/office/drawing/2014/main" id="{7B3F0ACA-06B4-47D4-987E-465E0450988A}"/>
            </a:ext>
          </a:extLst>
        </xdr:cNvPr>
        <xdr:cNvPicPr>
          <a:picLocks noChangeAspect="1"/>
        </xdr:cNvPicPr>
      </xdr:nvPicPr>
      <xdr:blipFill>
        <a:blip xmlns:r="http://schemas.openxmlformats.org/officeDocument/2006/relationships" r:embed="rId3"/>
        <a:stretch>
          <a:fillRect/>
        </a:stretch>
      </xdr:blipFill>
      <xdr:spPr>
        <a:xfrm>
          <a:off x="15113000" y="9144000"/>
          <a:ext cx="16961905" cy="2752381"/>
        </a:xfrm>
        <a:prstGeom prst="rect">
          <a:avLst/>
        </a:prstGeom>
        <a:ln>
          <a:noFill/>
        </a:ln>
        <a:effectLst>
          <a:outerShdw blurRad="190500" algn="tl" rotWithShape="0">
            <a:srgbClr val="000000">
              <a:alpha val="70000"/>
            </a:srgbClr>
          </a:outerShdw>
        </a:effectLst>
      </xdr:spPr>
    </xdr:pic>
    <xdr:clientData/>
  </xdr:twoCellAnchor>
  <xdr:twoCellAnchor editAs="oneCell">
    <xdr:from>
      <xdr:col>0</xdr:col>
      <xdr:colOff>0</xdr:colOff>
      <xdr:row>48</xdr:row>
      <xdr:rowOff>178593</xdr:rowOff>
    </xdr:from>
    <xdr:to>
      <xdr:col>26</xdr:col>
      <xdr:colOff>560122</xdr:colOff>
      <xdr:row>63</xdr:row>
      <xdr:rowOff>159183</xdr:rowOff>
    </xdr:to>
    <xdr:pic>
      <xdr:nvPicPr>
        <xdr:cNvPr id="2" name="Picture 1">
          <a:extLst>
            <a:ext uri="{FF2B5EF4-FFF2-40B4-BE49-F238E27FC236}">
              <a16:creationId xmlns:a16="http://schemas.microsoft.com/office/drawing/2014/main" id="{E11340B7-5717-45A0-AE4D-4DC19E5CAA5C}"/>
            </a:ext>
          </a:extLst>
        </xdr:cNvPr>
        <xdr:cNvPicPr>
          <a:picLocks noChangeAspect="1"/>
        </xdr:cNvPicPr>
      </xdr:nvPicPr>
      <xdr:blipFill>
        <a:blip xmlns:r="http://schemas.openxmlformats.org/officeDocument/2006/relationships" r:embed="rId4"/>
        <a:stretch>
          <a:fillRect/>
        </a:stretch>
      </xdr:blipFill>
      <xdr:spPr>
        <a:xfrm>
          <a:off x="0" y="9548812"/>
          <a:ext cx="16728810" cy="2838090"/>
        </a:xfrm>
        <a:prstGeom prst="rect">
          <a:avLst/>
        </a:prstGeom>
      </xdr:spPr>
    </xdr:pic>
    <xdr:clientData/>
  </xdr:twoCellAnchor>
  <xdr:twoCellAnchor editAs="oneCell">
    <xdr:from>
      <xdr:col>50</xdr:col>
      <xdr:colOff>38100</xdr:colOff>
      <xdr:row>54</xdr:row>
      <xdr:rowOff>38100</xdr:rowOff>
    </xdr:from>
    <xdr:to>
      <xdr:col>52</xdr:col>
      <xdr:colOff>209376</xdr:colOff>
      <xdr:row>57</xdr:row>
      <xdr:rowOff>76124</xdr:rowOff>
    </xdr:to>
    <xdr:pic>
      <xdr:nvPicPr>
        <xdr:cNvPr id="11" name="Picture 10">
          <a:extLst>
            <a:ext uri="{FF2B5EF4-FFF2-40B4-BE49-F238E27FC236}">
              <a16:creationId xmlns:a16="http://schemas.microsoft.com/office/drawing/2014/main" id="{90376C2D-01DB-4488-93A1-F1E1055B51AB}"/>
            </a:ext>
          </a:extLst>
        </xdr:cNvPr>
        <xdr:cNvPicPr>
          <a:picLocks noChangeAspect="1"/>
        </xdr:cNvPicPr>
      </xdr:nvPicPr>
      <xdr:blipFill>
        <a:blip xmlns:r="http://schemas.openxmlformats.org/officeDocument/2006/relationships" r:embed="rId5"/>
        <a:stretch>
          <a:fillRect/>
        </a:stretch>
      </xdr:blipFill>
      <xdr:spPr>
        <a:xfrm>
          <a:off x="30899100" y="10544175"/>
          <a:ext cx="1390476" cy="609524"/>
        </a:xfrm>
        <a:prstGeom prst="rect">
          <a:avLst/>
        </a:prstGeom>
      </xdr:spPr>
    </xdr:pic>
    <xdr:clientData/>
  </xdr:twoCellAnchor>
  <xdr:twoCellAnchor editAs="oneCell">
    <xdr:from>
      <xdr:col>0</xdr:col>
      <xdr:colOff>0</xdr:colOff>
      <xdr:row>4</xdr:row>
      <xdr:rowOff>0</xdr:rowOff>
    </xdr:from>
    <xdr:to>
      <xdr:col>11</xdr:col>
      <xdr:colOff>63403</xdr:colOff>
      <xdr:row>15</xdr:row>
      <xdr:rowOff>37833</xdr:rowOff>
    </xdr:to>
    <xdr:pic>
      <xdr:nvPicPr>
        <xdr:cNvPr id="3" name="Picture 2">
          <a:extLst>
            <a:ext uri="{FF2B5EF4-FFF2-40B4-BE49-F238E27FC236}">
              <a16:creationId xmlns:a16="http://schemas.microsoft.com/office/drawing/2014/main" id="{0C2B7217-ADEB-4617-B1E4-DCBF38139079}"/>
            </a:ext>
          </a:extLst>
        </xdr:cNvPr>
        <xdr:cNvPicPr>
          <a:picLocks noChangeAspect="1"/>
        </xdr:cNvPicPr>
      </xdr:nvPicPr>
      <xdr:blipFill>
        <a:blip xmlns:r="http://schemas.openxmlformats.org/officeDocument/2006/relationships" r:embed="rId6"/>
        <a:stretch>
          <a:fillRect/>
        </a:stretch>
      </xdr:blipFill>
      <xdr:spPr>
        <a:xfrm>
          <a:off x="0" y="821531"/>
          <a:ext cx="7123809" cy="2133333"/>
        </a:xfrm>
        <a:prstGeom prst="rect">
          <a:avLst/>
        </a:prstGeom>
        <a:ln>
          <a:noFill/>
        </a:ln>
        <a:effectLst>
          <a:outerShdw blurRad="190500" algn="tl" rotWithShape="0">
            <a:srgbClr val="000000">
              <a:alpha val="70000"/>
            </a:srgbClr>
          </a:outerShdw>
        </a:effectLst>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E85E21-55F1-41A3-9789-6BC0B32187E1}">
  <sheetPr codeName="Sheet1"/>
  <dimension ref="A1:BD88"/>
  <sheetViews>
    <sheetView tabSelected="1" topLeftCell="A71" zoomScale="80" zoomScaleNormal="80" workbookViewId="0">
      <selection activeCell="D90" sqref="D90"/>
    </sheetView>
  </sheetViews>
  <sheetFormatPr defaultColWidth="9.109375" defaultRowHeight="14.4"/>
  <cols>
    <col min="1" max="1" width="14.88671875" style="8" bestFit="1" customWidth="1"/>
    <col min="2" max="13" width="9.109375" style="8"/>
    <col min="14" max="14" width="9.109375" style="8" customWidth="1"/>
    <col min="15" max="16384" width="9.109375" style="8"/>
  </cols>
  <sheetData>
    <row r="1" spans="1:56" s="90" customFormat="1" ht="19.8">
      <c r="A1" s="89" t="s">
        <v>0</v>
      </c>
      <c r="B1" s="89"/>
      <c r="C1" s="89"/>
      <c r="D1" s="89"/>
      <c r="E1" s="89"/>
      <c r="F1" s="89"/>
      <c r="G1" s="89"/>
      <c r="H1" s="89"/>
      <c r="I1" s="89"/>
      <c r="J1" s="89"/>
      <c r="K1" s="89"/>
      <c r="L1" s="89"/>
      <c r="M1" s="89"/>
      <c r="N1" s="89"/>
      <c r="O1" s="89"/>
      <c r="P1" s="89"/>
      <c r="Q1" s="89"/>
      <c r="R1" s="89"/>
      <c r="S1" s="89"/>
      <c r="T1" s="89"/>
      <c r="U1" s="89"/>
      <c r="V1" s="89"/>
      <c r="W1" s="89"/>
      <c r="X1" s="89"/>
      <c r="Y1" s="89"/>
      <c r="Z1" s="89"/>
      <c r="AA1" s="89"/>
      <c r="AB1" s="89"/>
      <c r="AC1" s="89"/>
      <c r="AD1" s="89"/>
      <c r="AE1" s="89"/>
      <c r="AF1" s="89"/>
      <c r="AG1" s="89"/>
      <c r="AH1" s="89"/>
      <c r="AI1" s="89"/>
      <c r="AJ1" s="89"/>
      <c r="AK1" s="89"/>
      <c r="AL1" s="89"/>
      <c r="AM1" s="89"/>
      <c r="AN1" s="89"/>
      <c r="AO1" s="89"/>
      <c r="AP1" s="89"/>
      <c r="AQ1" s="89"/>
      <c r="AR1" s="89"/>
      <c r="AS1" s="89"/>
      <c r="AT1" s="89"/>
      <c r="AU1" s="89"/>
      <c r="AV1" s="89"/>
      <c r="AW1" s="89"/>
      <c r="AX1" s="89"/>
      <c r="AY1" s="89"/>
      <c r="AZ1" s="89"/>
      <c r="BA1" s="89"/>
      <c r="BB1" s="89"/>
      <c r="BC1" s="89"/>
      <c r="BD1" s="89"/>
    </row>
    <row r="2" spans="1:56">
      <c r="A2" s="8" t="s">
        <v>1</v>
      </c>
    </row>
    <row r="3" spans="1:56">
      <c r="A3" s="8" t="s">
        <v>2</v>
      </c>
    </row>
    <row r="20" spans="1:56" s="90" customFormat="1" ht="19.8">
      <c r="A20" s="89" t="s">
        <v>3</v>
      </c>
      <c r="B20" s="89"/>
      <c r="C20" s="89"/>
      <c r="D20" s="89"/>
      <c r="E20" s="89"/>
      <c r="F20" s="89"/>
      <c r="G20" s="89"/>
      <c r="H20" s="89"/>
      <c r="I20" s="89"/>
      <c r="J20" s="89"/>
      <c r="K20" s="89"/>
      <c r="L20" s="89"/>
      <c r="M20" s="89"/>
      <c r="N20" s="89"/>
      <c r="O20" s="89"/>
      <c r="P20" s="89"/>
      <c r="Q20" s="89"/>
      <c r="R20" s="89"/>
      <c r="S20" s="89"/>
      <c r="T20" s="89"/>
      <c r="U20" s="89"/>
      <c r="V20" s="89"/>
      <c r="W20" s="89"/>
      <c r="X20" s="89"/>
      <c r="Y20" s="89"/>
      <c r="Z20" s="89"/>
      <c r="AA20" s="89"/>
      <c r="AB20" s="89"/>
      <c r="AC20" s="89"/>
      <c r="AD20" s="89"/>
      <c r="AE20" s="89"/>
      <c r="AF20" s="89"/>
      <c r="AG20" s="89"/>
      <c r="AH20" s="89"/>
      <c r="AI20" s="89"/>
      <c r="AJ20" s="89"/>
      <c r="AK20" s="89"/>
      <c r="AL20" s="89"/>
      <c r="AM20" s="89"/>
      <c r="AN20" s="89"/>
      <c r="AO20" s="89"/>
      <c r="AP20" s="89"/>
      <c r="AQ20" s="89"/>
      <c r="AR20" s="89"/>
      <c r="AS20" s="89"/>
      <c r="AT20" s="89"/>
      <c r="AU20" s="89"/>
      <c r="AV20" s="89"/>
      <c r="AW20" s="89"/>
      <c r="AX20" s="89"/>
      <c r="AY20" s="89"/>
      <c r="AZ20" s="89"/>
      <c r="BA20" s="89"/>
      <c r="BB20" s="89"/>
      <c r="BC20" s="89"/>
      <c r="BD20" s="89"/>
    </row>
    <row r="21" spans="1:56" s="91" customFormat="1" ht="18">
      <c r="A21" s="111" t="s">
        <v>4</v>
      </c>
      <c r="AB21" s="111" t="s">
        <v>5</v>
      </c>
    </row>
    <row r="22" spans="1:56">
      <c r="A22" s="8" t="s">
        <v>6</v>
      </c>
      <c r="AB22" s="8" t="s">
        <v>7</v>
      </c>
    </row>
    <row r="23" spans="1:56">
      <c r="A23" s="8" t="s">
        <v>8</v>
      </c>
      <c r="AB23" s="8" t="s">
        <v>9</v>
      </c>
    </row>
    <row r="36" spans="1:56" s="90" customFormat="1" ht="19.8">
      <c r="A36" s="89" t="s">
        <v>10</v>
      </c>
      <c r="B36" s="89"/>
      <c r="C36" s="89"/>
      <c r="D36" s="89"/>
      <c r="E36" s="89"/>
      <c r="F36" s="89"/>
      <c r="G36" s="89"/>
      <c r="H36" s="89"/>
      <c r="I36" s="89"/>
      <c r="J36" s="89"/>
      <c r="K36" s="89"/>
      <c r="L36" s="89"/>
      <c r="M36" s="89"/>
      <c r="N36" s="89"/>
      <c r="O36" s="89"/>
      <c r="P36" s="89"/>
      <c r="Q36" s="89"/>
      <c r="R36" s="89"/>
      <c r="S36" s="89"/>
      <c r="T36" s="89"/>
      <c r="U36" s="89"/>
      <c r="V36" s="89"/>
      <c r="W36" s="89"/>
      <c r="X36" s="89"/>
      <c r="Y36" s="89"/>
      <c r="Z36" s="89"/>
      <c r="AA36" s="89"/>
      <c r="AB36" s="89"/>
      <c r="AC36" s="89"/>
      <c r="AD36" s="89"/>
      <c r="AE36" s="89"/>
      <c r="AF36" s="89"/>
      <c r="AG36" s="89"/>
      <c r="AH36" s="89"/>
      <c r="AI36" s="89"/>
      <c r="AJ36" s="89"/>
      <c r="AK36" s="89"/>
      <c r="AL36" s="89"/>
      <c r="AM36" s="89"/>
      <c r="AN36" s="89"/>
      <c r="AO36" s="89"/>
      <c r="AP36" s="89"/>
      <c r="AQ36" s="89"/>
      <c r="AR36" s="89"/>
      <c r="AS36" s="89"/>
      <c r="AT36" s="89"/>
      <c r="AU36" s="89"/>
      <c r="AV36" s="89"/>
      <c r="AW36" s="89"/>
      <c r="AX36" s="89"/>
      <c r="AY36" s="89"/>
      <c r="AZ36" s="89"/>
      <c r="BA36" s="89"/>
      <c r="BB36" s="89"/>
      <c r="BC36" s="89"/>
      <c r="BD36" s="89"/>
    </row>
    <row r="37" spans="1:56">
      <c r="A37" s="8" t="s">
        <v>11</v>
      </c>
      <c r="AB37" s="8" t="s">
        <v>11</v>
      </c>
    </row>
    <row r="38" spans="1:56">
      <c r="A38" s="8" t="s">
        <v>12</v>
      </c>
      <c r="AB38" s="8" t="s">
        <v>12</v>
      </c>
    </row>
    <row r="39" spans="1:56">
      <c r="A39" s="8" t="s">
        <v>13</v>
      </c>
      <c r="AB39" s="8" t="s">
        <v>13</v>
      </c>
    </row>
    <row r="40" spans="1:56">
      <c r="A40" s="8" t="s">
        <v>14</v>
      </c>
      <c r="AB40" s="8" t="s">
        <v>14</v>
      </c>
    </row>
    <row r="41" spans="1:56">
      <c r="A41" s="8" t="s">
        <v>15</v>
      </c>
      <c r="AB41" s="8" t="s">
        <v>16</v>
      </c>
    </row>
    <row r="42" spans="1:56">
      <c r="A42" s="8" t="s">
        <v>17</v>
      </c>
      <c r="AB42" s="8" t="s">
        <v>18</v>
      </c>
    </row>
    <row r="43" spans="1:56">
      <c r="A43" s="8" t="s">
        <v>19</v>
      </c>
      <c r="AB43" s="8" t="s">
        <v>20</v>
      </c>
    </row>
    <row r="44" spans="1:56">
      <c r="A44" s="8" t="s">
        <v>21</v>
      </c>
      <c r="AB44" s="8" t="s">
        <v>22</v>
      </c>
    </row>
    <row r="45" spans="1:56">
      <c r="A45" s="8" t="s">
        <v>23</v>
      </c>
    </row>
    <row r="46" spans="1:56">
      <c r="A46" s="8" t="s">
        <v>24</v>
      </c>
    </row>
    <row r="47" spans="1:56">
      <c r="A47" s="8" t="s">
        <v>25</v>
      </c>
    </row>
    <row r="48" spans="1:56">
      <c r="A48" s="8" t="s">
        <v>26</v>
      </c>
    </row>
    <row r="50" spans="1:1">
      <c r="A50" s="92"/>
    </row>
    <row r="67" spans="1:56" s="90" customFormat="1" ht="19.8">
      <c r="A67" s="89" t="s">
        <v>27</v>
      </c>
      <c r="B67" s="89"/>
      <c r="C67" s="89"/>
      <c r="D67" s="89"/>
      <c r="E67" s="89"/>
      <c r="F67" s="89"/>
      <c r="G67" s="89"/>
      <c r="H67" s="89"/>
      <c r="I67" s="89"/>
      <c r="J67" s="89"/>
      <c r="K67" s="89"/>
      <c r="L67" s="89"/>
      <c r="M67" s="89"/>
      <c r="N67" s="89"/>
      <c r="O67" s="89"/>
      <c r="P67" s="89"/>
      <c r="Q67" s="89"/>
      <c r="R67" s="89"/>
      <c r="S67" s="89"/>
      <c r="T67" s="89"/>
      <c r="U67" s="89"/>
      <c r="V67" s="89"/>
      <c r="W67" s="89"/>
      <c r="X67" s="89"/>
      <c r="Y67" s="89"/>
      <c r="Z67" s="89"/>
      <c r="AA67" s="89"/>
      <c r="AB67" s="89"/>
      <c r="AC67" s="89"/>
      <c r="AD67" s="89"/>
      <c r="AE67" s="89"/>
      <c r="AF67" s="89"/>
      <c r="AG67" s="89"/>
      <c r="AH67" s="89"/>
      <c r="AI67" s="89"/>
      <c r="AJ67" s="89"/>
      <c r="AK67" s="89"/>
      <c r="AL67" s="89"/>
      <c r="AM67" s="89"/>
      <c r="AN67" s="89"/>
      <c r="AO67" s="89"/>
      <c r="AP67" s="89"/>
      <c r="AQ67" s="89"/>
      <c r="AR67" s="89"/>
      <c r="AS67" s="89"/>
      <c r="AT67" s="89"/>
      <c r="AU67" s="89"/>
      <c r="AV67" s="89"/>
      <c r="AW67" s="89"/>
      <c r="AX67" s="89"/>
      <c r="AY67" s="89"/>
      <c r="AZ67" s="89"/>
      <c r="BA67" s="89"/>
      <c r="BB67" s="89"/>
      <c r="BC67" s="89"/>
      <c r="BD67" s="89"/>
    </row>
    <row r="68" spans="1:56">
      <c r="A68" s="8" t="s">
        <v>28</v>
      </c>
      <c r="B68" s="82"/>
      <c r="C68" s="82"/>
      <c r="D68" s="82"/>
      <c r="E68" s="82"/>
      <c r="F68" s="82"/>
      <c r="G68" s="82"/>
      <c r="H68" s="82"/>
      <c r="I68" s="82"/>
      <c r="J68" s="82"/>
      <c r="K68" s="82"/>
      <c r="L68" s="82"/>
      <c r="M68" s="82"/>
      <c r="N68" s="82"/>
      <c r="O68" s="82"/>
      <c r="P68" s="82"/>
    </row>
    <row r="69" spans="1:56">
      <c r="A69" s="8" t="s">
        <v>29</v>
      </c>
      <c r="B69" s="82"/>
      <c r="C69" s="82"/>
      <c r="D69" s="82"/>
      <c r="E69" s="82"/>
      <c r="F69" s="82"/>
      <c r="G69" s="82"/>
      <c r="H69" s="82"/>
      <c r="I69" s="82"/>
      <c r="J69" s="82"/>
      <c r="K69" s="82"/>
      <c r="L69" s="82"/>
      <c r="M69" s="82"/>
      <c r="N69" s="82"/>
      <c r="O69" s="82"/>
      <c r="P69" s="82"/>
    </row>
    <row r="71" spans="1:56" s="74" customFormat="1" ht="19.8">
      <c r="A71" s="93" t="s">
        <v>30</v>
      </c>
      <c r="B71" s="94"/>
      <c r="C71" s="94"/>
      <c r="D71" s="94"/>
      <c r="E71" s="94"/>
      <c r="F71" s="94"/>
      <c r="G71" s="94"/>
      <c r="H71" s="94"/>
      <c r="I71" s="94"/>
      <c r="J71" s="94"/>
      <c r="K71" s="94"/>
      <c r="L71" s="94"/>
      <c r="M71" s="94"/>
      <c r="N71" s="94"/>
      <c r="O71" s="94"/>
      <c r="P71" s="94"/>
      <c r="Q71" s="94"/>
      <c r="R71" s="94"/>
      <c r="S71" s="94"/>
      <c r="T71" s="94"/>
      <c r="U71" s="94"/>
      <c r="V71" s="94"/>
      <c r="W71" s="94"/>
      <c r="X71" s="94"/>
      <c r="Y71" s="94"/>
      <c r="Z71" s="94"/>
      <c r="AA71" s="94"/>
      <c r="AB71" s="94"/>
      <c r="AC71" s="94"/>
      <c r="AD71" s="94"/>
      <c r="AE71" s="94"/>
      <c r="AF71" s="94"/>
      <c r="AG71" s="94"/>
      <c r="AH71" s="94"/>
      <c r="AI71" s="94"/>
      <c r="AJ71" s="94"/>
      <c r="AK71" s="94"/>
      <c r="AL71" s="94"/>
      <c r="AM71" s="94"/>
      <c r="AN71" s="94"/>
      <c r="AO71" s="94"/>
      <c r="AP71" s="94"/>
      <c r="AQ71" s="94"/>
      <c r="AR71" s="94"/>
      <c r="AS71" s="94"/>
      <c r="AT71" s="94"/>
      <c r="AU71" s="94"/>
      <c r="AV71" s="94"/>
      <c r="AW71" s="94"/>
      <c r="AX71" s="94"/>
      <c r="AY71" s="94"/>
      <c r="AZ71" s="94"/>
      <c r="BA71" s="94"/>
      <c r="BB71" s="94"/>
      <c r="BC71" s="94"/>
      <c r="BD71" s="94"/>
    </row>
    <row r="72" spans="1:56">
      <c r="A72" s="8" t="s">
        <v>31</v>
      </c>
    </row>
    <row r="73" spans="1:56">
      <c r="A73" s="8" t="s">
        <v>32</v>
      </c>
    </row>
    <row r="74" spans="1:56">
      <c r="A74" s="8" t="s">
        <v>33</v>
      </c>
    </row>
    <row r="75" spans="1:56">
      <c r="A75" s="8" t="s">
        <v>34</v>
      </c>
    </row>
    <row r="76" spans="1:56">
      <c r="A76" s="8" t="s">
        <v>35</v>
      </c>
    </row>
    <row r="77" spans="1:56" s="82" customFormat="1"/>
    <row r="78" spans="1:56">
      <c r="A78" s="8" t="s">
        <v>36</v>
      </c>
    </row>
    <row r="79" spans="1:56">
      <c r="A79" s="8" t="s">
        <v>37</v>
      </c>
    </row>
    <row r="80" spans="1:56">
      <c r="A80" s="8" t="s">
        <v>38</v>
      </c>
    </row>
    <row r="81" spans="1:56">
      <c r="A81" s="8" t="s">
        <v>39</v>
      </c>
    </row>
    <row r="82" spans="1:56">
      <c r="A82" s="8" t="s">
        <v>40</v>
      </c>
    </row>
    <row r="83" spans="1:56" s="82" customFormat="1"/>
    <row r="85" spans="1:56" s="90" customFormat="1" ht="19.8">
      <c r="A85" s="89" t="s">
        <v>41</v>
      </c>
      <c r="B85" s="89"/>
      <c r="C85" s="89"/>
      <c r="D85" s="89"/>
      <c r="E85" s="89"/>
      <c r="F85" s="89"/>
      <c r="G85" s="89"/>
      <c r="H85" s="89"/>
      <c r="I85" s="89"/>
      <c r="J85" s="89"/>
      <c r="K85" s="89"/>
      <c r="L85" s="89"/>
      <c r="M85" s="89"/>
      <c r="N85" s="89"/>
      <c r="O85" s="89"/>
      <c r="P85" s="89"/>
      <c r="Q85" s="89"/>
      <c r="R85" s="89"/>
      <c r="S85" s="89"/>
      <c r="T85" s="89"/>
      <c r="U85" s="89"/>
      <c r="V85" s="89"/>
      <c r="W85" s="89"/>
      <c r="X85" s="89"/>
      <c r="Y85" s="89"/>
      <c r="Z85" s="89"/>
      <c r="AA85" s="89"/>
      <c r="AB85" s="89"/>
      <c r="AC85" s="89"/>
      <c r="AD85" s="89"/>
      <c r="AE85" s="89"/>
      <c r="AF85" s="89"/>
      <c r="AG85" s="89"/>
      <c r="AH85" s="89"/>
      <c r="AI85" s="89"/>
      <c r="AJ85" s="89"/>
      <c r="AK85" s="89"/>
      <c r="AL85" s="89"/>
      <c r="AM85" s="89"/>
      <c r="AN85" s="89"/>
      <c r="AO85" s="89"/>
      <c r="AP85" s="89"/>
      <c r="AQ85" s="89"/>
      <c r="AR85" s="89"/>
      <c r="AS85" s="89"/>
      <c r="AT85" s="89"/>
      <c r="AU85" s="89"/>
      <c r="AV85" s="89"/>
      <c r="AW85" s="89"/>
      <c r="AX85" s="89"/>
      <c r="AY85" s="89"/>
      <c r="AZ85" s="89"/>
      <c r="BA85" s="89"/>
      <c r="BB85" s="89"/>
      <c r="BC85" s="89"/>
      <c r="BD85" s="89"/>
    </row>
    <row r="86" spans="1:56" ht="19.8">
      <c r="A86" s="8" t="s">
        <v>42</v>
      </c>
      <c r="F86" s="140" t="s">
        <v>43</v>
      </c>
      <c r="G86" s="95"/>
    </row>
    <row r="87" spans="1:56" ht="19.8">
      <c r="A87" s="8" t="s">
        <v>44</v>
      </c>
      <c r="F87" s="96" t="s">
        <v>45</v>
      </c>
      <c r="G87" s="95"/>
    </row>
    <row r="88" spans="1:56" ht="18">
      <c r="F88" s="95"/>
      <c r="G88" s="95"/>
    </row>
  </sheetData>
  <sheetProtection algorithmName="SHA-512" hashValue="9cWG76OrjejeNgIHdcsHWLQetNJGNCrOD8ZuAZs8yXiRuHm+Ui10eKrbj0B2JC0UxbM/fKoQQ+mXL4JpPmeW0A==" saltValue="sSWqzMwe9t78lfkdZEvZbw==" spinCount="100000" sheet="1" objects="1" scenarios="1"/>
  <hyperlinks>
    <hyperlink ref="F86" location="Menu!A1" display="点我" xr:uid="{F6B2881B-C90A-4B52-B939-EBA248584883}"/>
    <hyperlink ref="F87" location="Menu!A1" display="点我" xr:uid="{09413FF1-21A5-4C25-99F1-8259DC1C8F93}"/>
  </hyperlinks>
  <pageMargins left="0.7" right="0.7" top="0.75" bottom="0.75" header="0.3" footer="0.3"/>
  <pageSetup paperSize="9" orientation="portrait" horizontalDpi="1200" verticalDpi="1200" r:id="rId1"/>
  <headerFooter>
    <oddFooter>&amp;C&amp;1#&amp;"Arial"&amp;10&amp;K000000Internal</oddFooter>
  </headerFooter>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DBDE3-E492-4172-A647-A9430FE73640}">
  <sheetPr codeName="Sheet2"/>
  <dimension ref="A1:E23"/>
  <sheetViews>
    <sheetView workbookViewId="0">
      <selection activeCell="D5" sqref="D5"/>
    </sheetView>
  </sheetViews>
  <sheetFormatPr defaultColWidth="9.109375" defaultRowHeight="14.4"/>
  <cols>
    <col min="1" max="1" width="41" style="8" customWidth="1"/>
    <col min="2" max="2" width="15.5546875" style="8" bestFit="1" customWidth="1"/>
    <col min="3" max="3" width="3.44140625" style="8" customWidth="1"/>
    <col min="4" max="5" width="21.44140625" style="8" bestFit="1" customWidth="1"/>
    <col min="6" max="16384" width="9.109375" style="8"/>
  </cols>
  <sheetData>
    <row r="1" spans="1:5">
      <c r="A1" s="9" t="s">
        <v>46</v>
      </c>
    </row>
    <row r="2" spans="1:5">
      <c r="A2" s="9" t="s">
        <v>47</v>
      </c>
    </row>
    <row r="3" spans="1:5" ht="15" thickBot="1"/>
    <row r="4" spans="1:5" ht="15" thickBot="1">
      <c r="A4" s="147" t="s">
        <v>48</v>
      </c>
      <c r="B4" s="148"/>
      <c r="C4" s="148"/>
      <c r="D4" s="126" t="s">
        <v>49</v>
      </c>
      <c r="E4" s="126" t="s">
        <v>50</v>
      </c>
    </row>
    <row r="5" spans="1:5">
      <c r="A5" s="84" t="s">
        <v>51</v>
      </c>
      <c r="C5" s="124" t="s">
        <v>52</v>
      </c>
      <c r="D5" s="125" t="s">
        <v>53</v>
      </c>
      <c r="E5" s="149">
        <v>7</v>
      </c>
    </row>
    <row r="6" spans="1:5">
      <c r="A6" s="127" t="s">
        <v>151</v>
      </c>
      <c r="B6" s="121"/>
      <c r="C6" s="122" t="s">
        <v>52</v>
      </c>
      <c r="D6" s="123" t="s">
        <v>53</v>
      </c>
      <c r="E6" s="150"/>
    </row>
    <row r="7" spans="1:5">
      <c r="A7" s="84" t="s">
        <v>54</v>
      </c>
      <c r="B7" s="85" t="s">
        <v>55</v>
      </c>
      <c r="C7" s="86" t="s">
        <v>56</v>
      </c>
      <c r="D7" s="123" t="s">
        <v>53</v>
      </c>
      <c r="E7" s="150"/>
    </row>
    <row r="8" spans="1:5">
      <c r="A8" s="84"/>
      <c r="B8" s="85" t="s">
        <v>57</v>
      </c>
      <c r="C8" s="86" t="s">
        <v>56</v>
      </c>
      <c r="D8" s="138" t="s">
        <v>53</v>
      </c>
      <c r="E8" s="150"/>
    </row>
    <row r="9" spans="1:5">
      <c r="A9" s="84"/>
      <c r="B9" s="85" t="s">
        <v>58</v>
      </c>
      <c r="C9" s="86" t="s">
        <v>56</v>
      </c>
      <c r="D9" s="123" t="s">
        <v>53</v>
      </c>
      <c r="E9" s="150"/>
    </row>
    <row r="10" spans="1:5">
      <c r="A10" s="84"/>
      <c r="B10" s="85" t="s">
        <v>59</v>
      </c>
      <c r="C10" s="86" t="s">
        <v>56</v>
      </c>
      <c r="D10" s="123" t="s">
        <v>53</v>
      </c>
      <c r="E10" s="150"/>
    </row>
    <row r="11" spans="1:5">
      <c r="A11" s="84"/>
      <c r="B11" s="85" t="s">
        <v>150</v>
      </c>
      <c r="C11" s="86" t="s">
        <v>56</v>
      </c>
      <c r="D11" s="123" t="s">
        <v>53</v>
      </c>
      <c r="E11" s="150"/>
    </row>
    <row r="12" spans="1:5">
      <c r="A12" s="84"/>
      <c r="B12" s="85" t="s">
        <v>60</v>
      </c>
      <c r="C12" s="86" t="s">
        <v>56</v>
      </c>
      <c r="D12" s="123" t="s">
        <v>53</v>
      </c>
      <c r="E12" s="150"/>
    </row>
    <row r="13" spans="1:5">
      <c r="A13" s="84"/>
      <c r="B13" s="85" t="s">
        <v>61</v>
      </c>
      <c r="C13" s="86" t="s">
        <v>56</v>
      </c>
      <c r="D13" s="123" t="s">
        <v>53</v>
      </c>
      <c r="E13" s="150"/>
    </row>
    <row r="14" spans="1:5">
      <c r="B14" s="85" t="s">
        <v>62</v>
      </c>
      <c r="C14" s="86" t="s">
        <v>56</v>
      </c>
      <c r="D14" s="138" t="s">
        <v>53</v>
      </c>
      <c r="E14" s="150"/>
    </row>
    <row r="15" spans="1:5" ht="15" thickBot="1">
      <c r="A15" s="137"/>
      <c r="B15" s="87" t="s">
        <v>159</v>
      </c>
      <c r="C15" s="88" t="s">
        <v>56</v>
      </c>
      <c r="D15" s="139" t="s">
        <v>53</v>
      </c>
      <c r="E15" s="151"/>
    </row>
    <row r="18" spans="4:4">
      <c r="D18" s="63"/>
    </row>
    <row r="23" spans="4:4">
      <c r="D23" s="63"/>
    </row>
  </sheetData>
  <sheetProtection algorithmName="SHA-512" hashValue="StdHCzgXHFc33MUlqxD+P3lepL7Mra+Un5SXu73qTcW5Dg76p0KJT33wEcNuwHFccP84UObgZ0d5s4ccmm20EA==" saltValue="QH+u1F91+7CJWrDnQ85iGw==" spinCount="100000" sheet="1" objects="1" scenarios="1"/>
  <mergeCells count="2">
    <mergeCell ref="A4:C4"/>
    <mergeCell ref="E5:E15"/>
  </mergeCells>
  <hyperlinks>
    <hyperlink ref="D5" location="Office!A1" display="请点击 / Click Here" xr:uid="{502EBC55-A851-4B8D-A2DC-2690F565D3F1}"/>
    <hyperlink ref="D14" location="Prod_BCSC!A1" display="请点击 / Click Here" xr:uid="{0F9D9CD6-62DE-42C5-BFE8-36FCE59A6341}"/>
    <hyperlink ref="D7" location="Prod_BACC!A1" display="请点击 | Click Here" xr:uid="{644C2CC7-0B65-41B8-98BB-863C2151015C}"/>
    <hyperlink ref="D8" location="Prod_BACH!A1" display="请点击 | Click Here" xr:uid="{0A892790-B617-4A33-AEB6-38A0CE2171F2}"/>
    <hyperlink ref="D9" location="Prod_BAPS!A1" display="请点击 | Click Here" xr:uid="{49E941C1-21E2-44AA-AAC0-37648675FA7B}"/>
    <hyperlink ref="D12" location="Prod_BETC!A1" display="请点击 | Click Here" xr:uid="{2ECA5DF0-3A36-49FE-96A6-68AA128A6C95}"/>
    <hyperlink ref="D10" location="Prod_BCCS!A1" display="请点击 | Click Here" xr:uid="{7A88EDA1-2F8C-4204-8F22-706159188E78}"/>
    <hyperlink ref="D13" location="Prod_BIG" display="请点击 | Click Here" xr:uid="{14915E2F-1E34-42ED-95BE-ECEC810EDDF1}"/>
    <hyperlink ref="D11" location="Prod_BAEP!A1" display="请点击 | Click Here" xr:uid="{A662F935-263D-497F-A435-95E878113D77}"/>
    <hyperlink ref="D6" location="Office!A1" display="请点击 / Click Here" xr:uid="{242E4F16-87CE-4CCC-BB1E-17529811F96C}"/>
    <hyperlink ref="D15" location="Prod_BPCC!A1" display="请点击 | Click Here" xr:uid="{15BF6404-908E-4176-9144-5D3248C6C3D3}"/>
  </hyperlinks>
  <pageMargins left="0.7" right="0.7" top="0.75" bottom="0.75" header="0.3" footer="0.3"/>
  <pageSetup paperSize="9" orientation="portrait" horizontalDpi="1200" verticalDpi="1200" r:id="rId1"/>
  <headerFooter>
    <oddFooter>&amp;C&amp;1#&amp;"Arial"&amp;10&amp;K000000Internal</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4F8F93-B478-45E6-BBCE-DE182623958F}">
  <sheetPr codeName="Sheet3"/>
  <dimension ref="A1:AX68"/>
  <sheetViews>
    <sheetView zoomScale="80" zoomScaleNormal="80" workbookViewId="0">
      <pane xSplit="7" ySplit="6" topLeftCell="H7" activePane="bottomRight" state="frozen"/>
      <selection pane="topRight" activeCell="X3" sqref="X3:X5"/>
      <selection pane="bottomLeft" activeCell="X3" sqref="X3:X5"/>
      <selection pane="bottomRight" activeCell="D9" sqref="D9:D10"/>
    </sheetView>
  </sheetViews>
  <sheetFormatPr defaultColWidth="9.109375" defaultRowHeight="14.4"/>
  <cols>
    <col min="1" max="1" width="8.5546875" style="8" customWidth="1"/>
    <col min="2" max="2" width="13.88671875" style="8" customWidth="1"/>
    <col min="3" max="3" width="18.5546875" style="8" customWidth="1"/>
    <col min="4" max="4" width="15.44140625" style="8" bestFit="1" customWidth="1"/>
    <col min="5" max="6" width="15.44140625" style="8" customWidth="1"/>
    <col min="7" max="7" width="17.44140625" style="8" bestFit="1" customWidth="1"/>
    <col min="8" max="38" width="8.5546875" style="8" customWidth="1"/>
    <col min="39" max="39" width="36.5546875" style="8" bestFit="1" customWidth="1"/>
    <col min="40" max="40" width="46" style="8" bestFit="1" customWidth="1"/>
    <col min="41" max="41" width="28.5546875" style="8" bestFit="1" customWidth="1"/>
    <col min="42" max="42" width="28.5546875" style="8" customWidth="1"/>
    <col min="43" max="43" width="20" style="8" bestFit="1" customWidth="1"/>
    <col min="44" max="44" width="31" style="8" customWidth="1"/>
    <col min="45" max="45" width="13.5546875" style="8" bestFit="1" customWidth="1"/>
    <col min="46" max="48" width="13.5546875" style="8" customWidth="1"/>
    <col min="49" max="49" width="20.44140625" style="8" customWidth="1"/>
    <col min="50" max="16384" width="9.109375" style="8"/>
  </cols>
  <sheetData>
    <row r="1" spans="1:50" ht="18.600000000000001" thickBot="1">
      <c r="A1" s="83" t="s">
        <v>63</v>
      </c>
    </row>
    <row r="2" spans="1:50" ht="38.25" customHeight="1" thickBot="1">
      <c r="A2" s="198" t="s">
        <v>64</v>
      </c>
      <c r="B2" s="199"/>
      <c r="C2" s="32" t="s">
        <v>65</v>
      </c>
      <c r="D2" s="7" t="e">
        <f>EOMONTH(C2,0)</f>
        <v>#VALUE!</v>
      </c>
      <c r="H2" s="176" t="s">
        <v>66</v>
      </c>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8"/>
      <c r="AR2" s="9"/>
    </row>
    <row r="3" spans="1:50" ht="15" thickBot="1">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1"/>
    </row>
    <row r="4" spans="1:50" ht="76.5" customHeight="1">
      <c r="A4" s="12" t="s">
        <v>67</v>
      </c>
      <c r="B4" s="13" t="s">
        <v>68</v>
      </c>
      <c r="C4" s="13" t="s">
        <v>69</v>
      </c>
      <c r="D4" s="13" t="s">
        <v>70</v>
      </c>
      <c r="E4" s="13" t="s">
        <v>71</v>
      </c>
      <c r="F4" s="13" t="s">
        <v>72</v>
      </c>
      <c r="G4" s="196" t="s">
        <v>73</v>
      </c>
      <c r="H4" s="38" t="e">
        <f>IF($C$2+0&gt;$D$2,"",$C$2+0)</f>
        <v>#VALUE!</v>
      </c>
      <c r="I4" s="39" t="e">
        <f>IF($C$2+1&gt;$D$2,"",$C$2+1)</f>
        <v>#VALUE!</v>
      </c>
      <c r="J4" s="39" t="e">
        <f>IF($C$2+2&gt;$D$2,"",$C$2+2)</f>
        <v>#VALUE!</v>
      </c>
      <c r="K4" s="39" t="e">
        <f>IF($C$2+3&gt;$D$2,"",$C$2+3)</f>
        <v>#VALUE!</v>
      </c>
      <c r="L4" s="39" t="e">
        <f>IF($C$2+4&gt;$D$2,"",$C$2+4)</f>
        <v>#VALUE!</v>
      </c>
      <c r="M4" s="39" t="e">
        <f>IF($C$2+5&gt;$D$2,"",$C$2+5)</f>
        <v>#VALUE!</v>
      </c>
      <c r="N4" s="39" t="e">
        <f>IF($C$2+6&gt;$D$2,"",$C$2+6)</f>
        <v>#VALUE!</v>
      </c>
      <c r="O4" s="39" t="e">
        <f>IF($C$2+7&gt;$D$2,"",$C$2+7)</f>
        <v>#VALUE!</v>
      </c>
      <c r="P4" s="39" t="e">
        <f>IF($C$2+8&gt;$D$2,"",$C$2+8)</f>
        <v>#VALUE!</v>
      </c>
      <c r="Q4" s="39" t="e">
        <f>IF($C$2+9&gt;$D$2,"",$C$2+9)</f>
        <v>#VALUE!</v>
      </c>
      <c r="R4" s="39" t="e">
        <f>IF($C$2+10&gt;$D$2,"",$C$2+10)</f>
        <v>#VALUE!</v>
      </c>
      <c r="S4" s="39" t="e">
        <f>IF($C$2+11&gt;$D$2,"",$C$2+11)</f>
        <v>#VALUE!</v>
      </c>
      <c r="T4" s="39" t="e">
        <f>IF($C$2+12&gt;$D$2,"",$C$2+12)</f>
        <v>#VALUE!</v>
      </c>
      <c r="U4" s="39" t="e">
        <f>IF($C$2+13&gt;$D$2,"",$C$2+13)</f>
        <v>#VALUE!</v>
      </c>
      <c r="V4" s="39" t="e">
        <f>IF($C$2+14&gt;$D$2,"",$C$2+14)</f>
        <v>#VALUE!</v>
      </c>
      <c r="W4" s="39" t="e">
        <f>IF($C$2+15&gt;$D$2,"",$C$2+15)</f>
        <v>#VALUE!</v>
      </c>
      <c r="X4" s="39" t="e">
        <f>IF($C$2+16&gt;$D$2,"",$C$2+16)</f>
        <v>#VALUE!</v>
      </c>
      <c r="Y4" s="39" t="e">
        <f>IF($C$2+17&gt;$D$2,"",$C$2+17)</f>
        <v>#VALUE!</v>
      </c>
      <c r="Z4" s="39" t="e">
        <f>IF($C$2+18&gt;$D$2,"",$C$2+18)</f>
        <v>#VALUE!</v>
      </c>
      <c r="AA4" s="39" t="e">
        <f>IF($C$2+19&gt;$D$2,"",$C$2+19)</f>
        <v>#VALUE!</v>
      </c>
      <c r="AB4" s="39" t="e">
        <f>IF($C$2+20&gt;$D$2,"",$C$2+20)</f>
        <v>#VALUE!</v>
      </c>
      <c r="AC4" s="39" t="e">
        <f>IF($C$2+21&gt;$D$2,"",$C$2+21)</f>
        <v>#VALUE!</v>
      </c>
      <c r="AD4" s="39" t="e">
        <f>IF($C$2+22&gt;$D$2,"",$C$2+22)</f>
        <v>#VALUE!</v>
      </c>
      <c r="AE4" s="39" t="e">
        <f>IF($C$2+23&gt;$D$2,"",$C$2+23)</f>
        <v>#VALUE!</v>
      </c>
      <c r="AF4" s="39" t="e">
        <f>IF($C$2+24&gt;$D$2,"",$C$2+24)</f>
        <v>#VALUE!</v>
      </c>
      <c r="AG4" s="39" t="e">
        <f>IF($C$2+25&gt;$D$2,"",$C$2+25)</f>
        <v>#VALUE!</v>
      </c>
      <c r="AH4" s="39" t="e">
        <f>IF($C$2+26&gt;$D$2,"",$C$2+26)</f>
        <v>#VALUE!</v>
      </c>
      <c r="AI4" s="39" t="e">
        <f>IF($C$2+27&gt;$D$2,"",$C$2+27)</f>
        <v>#VALUE!</v>
      </c>
      <c r="AJ4" s="39" t="e">
        <f>IF($C$2+28&gt;$D$2,"",$C$2+28)</f>
        <v>#VALUE!</v>
      </c>
      <c r="AK4" s="39" t="e">
        <f>IF($C$2+29&gt;$D$2,"",$C$2+29)</f>
        <v>#VALUE!</v>
      </c>
      <c r="AL4" s="40" t="e">
        <f>IF($C$2+30&gt;$D$2,"",$C$2+30)</f>
        <v>#VALUE!</v>
      </c>
      <c r="AM4" s="181" t="s">
        <v>74</v>
      </c>
      <c r="AN4" s="182"/>
      <c r="AO4" s="182"/>
      <c r="AP4" s="13" t="s">
        <v>75</v>
      </c>
      <c r="AQ4" s="181" t="s">
        <v>76</v>
      </c>
      <c r="AR4" s="182"/>
      <c r="AS4" s="183"/>
      <c r="AT4" s="181" t="s">
        <v>77</v>
      </c>
      <c r="AU4" s="182"/>
      <c r="AV4" s="203"/>
      <c r="AW4" s="200" t="s">
        <v>78</v>
      </c>
    </row>
    <row r="5" spans="1:50" ht="15" customHeight="1">
      <c r="A5" s="14"/>
      <c r="B5" s="15"/>
      <c r="C5" s="15"/>
      <c r="D5" s="15"/>
      <c r="E5" s="15"/>
      <c r="F5" s="15"/>
      <c r="G5" s="197"/>
      <c r="H5" s="16" t="e">
        <f>IF(TEXT(H4,"DDD")="","",TEXT(H4,"DDD"))</f>
        <v>#VALUE!</v>
      </c>
      <c r="I5" s="17" t="e">
        <f t="shared" ref="I5:AL5" si="0">IF(TEXT(I4,"DDD")="","",TEXT(I4,"DDD"))</f>
        <v>#VALUE!</v>
      </c>
      <c r="J5" s="17" t="e">
        <f t="shared" si="0"/>
        <v>#VALUE!</v>
      </c>
      <c r="K5" s="17" t="e">
        <f t="shared" si="0"/>
        <v>#VALUE!</v>
      </c>
      <c r="L5" s="17" t="e">
        <f t="shared" si="0"/>
        <v>#VALUE!</v>
      </c>
      <c r="M5" s="17" t="e">
        <f t="shared" si="0"/>
        <v>#VALUE!</v>
      </c>
      <c r="N5" s="17" t="e">
        <f t="shared" si="0"/>
        <v>#VALUE!</v>
      </c>
      <c r="O5" s="17" t="e">
        <f t="shared" si="0"/>
        <v>#VALUE!</v>
      </c>
      <c r="P5" s="17" t="e">
        <f t="shared" si="0"/>
        <v>#VALUE!</v>
      </c>
      <c r="Q5" s="17" t="e">
        <f t="shared" si="0"/>
        <v>#VALUE!</v>
      </c>
      <c r="R5" s="17" t="e">
        <f t="shared" si="0"/>
        <v>#VALUE!</v>
      </c>
      <c r="S5" s="17" t="e">
        <f t="shared" si="0"/>
        <v>#VALUE!</v>
      </c>
      <c r="T5" s="17" t="e">
        <f t="shared" si="0"/>
        <v>#VALUE!</v>
      </c>
      <c r="U5" s="17" t="e">
        <f t="shared" si="0"/>
        <v>#VALUE!</v>
      </c>
      <c r="V5" s="17" t="e">
        <f t="shared" si="0"/>
        <v>#VALUE!</v>
      </c>
      <c r="W5" s="17" t="e">
        <f t="shared" si="0"/>
        <v>#VALUE!</v>
      </c>
      <c r="X5" s="17" t="e">
        <f t="shared" si="0"/>
        <v>#VALUE!</v>
      </c>
      <c r="Y5" s="17" t="e">
        <f t="shared" si="0"/>
        <v>#VALUE!</v>
      </c>
      <c r="Z5" s="17" t="e">
        <f t="shared" si="0"/>
        <v>#VALUE!</v>
      </c>
      <c r="AA5" s="17" t="e">
        <f t="shared" si="0"/>
        <v>#VALUE!</v>
      </c>
      <c r="AB5" s="17" t="e">
        <f t="shared" si="0"/>
        <v>#VALUE!</v>
      </c>
      <c r="AC5" s="17" t="e">
        <f t="shared" si="0"/>
        <v>#VALUE!</v>
      </c>
      <c r="AD5" s="17" t="e">
        <f t="shared" si="0"/>
        <v>#VALUE!</v>
      </c>
      <c r="AE5" s="17" t="e">
        <f t="shared" si="0"/>
        <v>#VALUE!</v>
      </c>
      <c r="AF5" s="17" t="e">
        <f t="shared" si="0"/>
        <v>#VALUE!</v>
      </c>
      <c r="AG5" s="17" t="e">
        <f t="shared" si="0"/>
        <v>#VALUE!</v>
      </c>
      <c r="AH5" s="17" t="e">
        <f t="shared" si="0"/>
        <v>#VALUE!</v>
      </c>
      <c r="AI5" s="17" t="e">
        <f t="shared" si="0"/>
        <v>#VALUE!</v>
      </c>
      <c r="AJ5" s="17" t="e">
        <f t="shared" si="0"/>
        <v>#VALUE!</v>
      </c>
      <c r="AK5" s="17" t="e">
        <f t="shared" si="0"/>
        <v>#VALUE!</v>
      </c>
      <c r="AL5" s="18" t="e">
        <f t="shared" si="0"/>
        <v>#VALUE!</v>
      </c>
      <c r="AM5" s="179" t="s">
        <v>79</v>
      </c>
      <c r="AN5" s="184" t="s">
        <v>80</v>
      </c>
      <c r="AO5" s="184" t="s">
        <v>81</v>
      </c>
      <c r="AP5" s="118"/>
      <c r="AQ5" s="179" t="s">
        <v>82</v>
      </c>
      <c r="AR5" s="184" t="s">
        <v>83</v>
      </c>
      <c r="AS5" s="186" t="s">
        <v>84</v>
      </c>
      <c r="AT5" s="179" t="s">
        <v>85</v>
      </c>
      <c r="AU5" s="184" t="s">
        <v>86</v>
      </c>
      <c r="AV5" s="204" t="s">
        <v>87</v>
      </c>
      <c r="AW5" s="201"/>
    </row>
    <row r="6" spans="1:50" ht="15" thickBot="1">
      <c r="A6" s="14"/>
      <c r="B6" s="15"/>
      <c r="C6" s="15"/>
      <c r="D6" s="15"/>
      <c r="E6" s="15"/>
      <c r="F6" s="15"/>
      <c r="G6" s="19" t="s">
        <v>88</v>
      </c>
      <c r="H6" s="20" t="str">
        <f>IFERROR(HLOOKUP(H4,Reference!1:2,2,0),"")</f>
        <v/>
      </c>
      <c r="I6" s="21" t="str">
        <f>IFERROR(HLOOKUP(I4,Reference!1:2,2,0),"")</f>
        <v/>
      </c>
      <c r="J6" s="21" t="str">
        <f>IFERROR(HLOOKUP(J4,Reference!1:2,2,0),"")</f>
        <v/>
      </c>
      <c r="K6" s="21" t="str">
        <f>IFERROR(HLOOKUP(K4,Reference!1:2,2,0),"")</f>
        <v/>
      </c>
      <c r="L6" s="21" t="str">
        <f>IFERROR(HLOOKUP(L4,Reference!1:2,2,0),"")</f>
        <v/>
      </c>
      <c r="M6" s="21" t="str">
        <f>IFERROR(HLOOKUP(M4,Reference!1:2,2,0),"")</f>
        <v/>
      </c>
      <c r="N6" s="21" t="str">
        <f>IFERROR(HLOOKUP(N4,Reference!1:2,2,0),"")</f>
        <v/>
      </c>
      <c r="O6" s="21" t="str">
        <f>IFERROR(HLOOKUP(O4,Reference!1:2,2,0),"")</f>
        <v/>
      </c>
      <c r="P6" s="21" t="str">
        <f>IFERROR(HLOOKUP(P4,Reference!1:2,2,0),"")</f>
        <v/>
      </c>
      <c r="Q6" s="21" t="str">
        <f>IFERROR(HLOOKUP(Q4,Reference!1:2,2,0),"")</f>
        <v/>
      </c>
      <c r="R6" s="21" t="str">
        <f>IFERROR(HLOOKUP(R4,Reference!1:2,2,0),"")</f>
        <v/>
      </c>
      <c r="S6" s="21" t="str">
        <f>IFERROR(HLOOKUP(S4,Reference!1:2,2,0),"")</f>
        <v/>
      </c>
      <c r="T6" s="21" t="str">
        <f>IFERROR(HLOOKUP(T4,Reference!1:2,2,0),"")</f>
        <v/>
      </c>
      <c r="U6" s="21" t="str">
        <f>IFERROR(HLOOKUP(U4,Reference!1:2,2,0),"")</f>
        <v/>
      </c>
      <c r="V6" s="21" t="str">
        <f>IFERROR(HLOOKUP(V4,Reference!1:2,2,0),"")</f>
        <v/>
      </c>
      <c r="W6" s="21" t="str">
        <f>IFERROR(HLOOKUP(W4,Reference!1:2,2,0),"")</f>
        <v/>
      </c>
      <c r="X6" s="21" t="str">
        <f>IFERROR(HLOOKUP(X4,Reference!1:2,2,0),"")</f>
        <v/>
      </c>
      <c r="Y6" s="21" t="str">
        <f>IFERROR(HLOOKUP(Y4,Reference!1:2,2,0),"")</f>
        <v/>
      </c>
      <c r="Z6" s="21" t="str">
        <f>IFERROR(HLOOKUP(Z4,Reference!1:2,2,0),"")</f>
        <v/>
      </c>
      <c r="AA6" s="21" t="str">
        <f>IFERROR(HLOOKUP(AA4,Reference!1:2,2,0),"")</f>
        <v/>
      </c>
      <c r="AB6" s="21" t="str">
        <f>IFERROR(HLOOKUP(AB4,Reference!1:2,2,0),"")</f>
        <v/>
      </c>
      <c r="AC6" s="21" t="str">
        <f>IFERROR(HLOOKUP(AC4,Reference!1:2,2,0),"")</f>
        <v/>
      </c>
      <c r="AD6" s="21" t="str">
        <f>IFERROR(HLOOKUP(AD4,Reference!1:2,2,0),"")</f>
        <v/>
      </c>
      <c r="AE6" s="21" t="str">
        <f>IFERROR(HLOOKUP(AE4,Reference!1:2,2,0),"")</f>
        <v/>
      </c>
      <c r="AF6" s="21" t="str">
        <f>IFERROR(HLOOKUP(AF4,Reference!1:2,2,0),"")</f>
        <v/>
      </c>
      <c r="AG6" s="21" t="str">
        <f>IFERROR(HLOOKUP(AG4,Reference!1:2,2,0),"")</f>
        <v/>
      </c>
      <c r="AH6" s="21" t="str">
        <f>IFERROR(HLOOKUP(AH4,Reference!1:2,2,0),"")</f>
        <v/>
      </c>
      <c r="AI6" s="21" t="str">
        <f>IFERROR(HLOOKUP(AI4,Reference!1:2,2,0),"")</f>
        <v/>
      </c>
      <c r="AJ6" s="21" t="str">
        <f>IFERROR(HLOOKUP(AJ4,Reference!1:2,2,0),"")</f>
        <v/>
      </c>
      <c r="AK6" s="21" t="str">
        <f>IFERROR(HLOOKUP(AK4,Reference!1:2,2,0),"")</f>
        <v/>
      </c>
      <c r="AL6" s="22" t="str">
        <f>IFERROR(HLOOKUP(AL4,Reference!1:2,2,0),"")</f>
        <v/>
      </c>
      <c r="AM6" s="180"/>
      <c r="AN6" s="185"/>
      <c r="AO6" s="185"/>
      <c r="AP6" s="119"/>
      <c r="AQ6" s="180"/>
      <c r="AR6" s="185"/>
      <c r="AS6" s="187"/>
      <c r="AT6" s="180"/>
      <c r="AU6" s="185"/>
      <c r="AV6" s="205"/>
      <c r="AW6" s="202"/>
    </row>
    <row r="7" spans="1:50">
      <c r="A7" s="164">
        <v>0</v>
      </c>
      <c r="B7" s="192">
        <v>12345</v>
      </c>
      <c r="C7" s="192" t="s">
        <v>89</v>
      </c>
      <c r="D7" s="192">
        <v>105</v>
      </c>
      <c r="E7" s="192"/>
      <c r="F7" s="188"/>
      <c r="G7" s="23" t="s">
        <v>90</v>
      </c>
      <c r="H7" s="24">
        <v>1</v>
      </c>
      <c r="I7" s="25"/>
      <c r="J7" s="25">
        <v>1</v>
      </c>
      <c r="K7" s="25">
        <v>1</v>
      </c>
      <c r="L7" s="25">
        <v>1</v>
      </c>
      <c r="M7" s="25">
        <v>1</v>
      </c>
      <c r="N7" s="25"/>
      <c r="O7" s="25">
        <v>1</v>
      </c>
      <c r="P7" s="25">
        <v>1</v>
      </c>
      <c r="Q7" s="25"/>
      <c r="R7" s="25">
        <v>1</v>
      </c>
      <c r="S7" s="25">
        <v>1</v>
      </c>
      <c r="T7" s="25">
        <v>1</v>
      </c>
      <c r="U7" s="25">
        <v>1</v>
      </c>
      <c r="V7" s="25">
        <v>1</v>
      </c>
      <c r="W7" s="25">
        <v>1</v>
      </c>
      <c r="X7" s="25"/>
      <c r="Y7" s="25">
        <v>1</v>
      </c>
      <c r="Z7" s="25">
        <v>1</v>
      </c>
      <c r="AA7" s="25">
        <v>1</v>
      </c>
      <c r="AB7" s="25">
        <v>1</v>
      </c>
      <c r="AC7" s="25">
        <v>1</v>
      </c>
      <c r="AD7" s="25">
        <v>1</v>
      </c>
      <c r="AE7" s="25">
        <v>1</v>
      </c>
      <c r="AF7" s="25">
        <v>1</v>
      </c>
      <c r="AG7" s="25">
        <v>1</v>
      </c>
      <c r="AH7" s="25"/>
      <c r="AI7" s="25">
        <v>1</v>
      </c>
      <c r="AJ7" s="25"/>
      <c r="AK7" s="25"/>
      <c r="AL7" s="26"/>
      <c r="AM7" s="190">
        <v>8</v>
      </c>
      <c r="AN7" s="192">
        <v>20.5</v>
      </c>
      <c r="AO7" s="194">
        <v>6</v>
      </c>
      <c r="AP7" s="188">
        <v>500</v>
      </c>
      <c r="AQ7" s="154" t="e">
        <f>((SUMPRODUCT(($H$5:$AL$5="Mon")*($H$6:$AL$6&lt;&gt;"PH")*($H$6:$AL$6&lt;&gt;"RH"),H7:AL7)+SUMPRODUCT(($H$5:$AL$5="Tue")*($H$6:$AL$6&lt;&gt;"PH")*($H$6:$AL$6&lt;&gt;"RH"),H7:AL7)+SUMPRODUCT(($H$5:$AL$5="Wed")*($H$6:$AL$6&lt;&gt;"PH")*($H$6:$AL$6&lt;&gt;"RH"),H7:AL7)+SUMPRODUCT(($H$5:$AL$5="Thu")*($H$6:$AL$6&lt;&gt;"PH")*($H$6:$AL$6&lt;&gt;"RH"),H7:AL7)+SUMPRODUCT(($H$5:$AL$5="Fri")*($H$6:$AL$6&lt;&gt;"PH")*($H$6:$AL$6&lt;&gt;"RH"),H7:AL7))+(SUMPRODUCT(($H$5:$AL$5="Mon")*($H$6:$AL$6&lt;&gt;"PH")*($H$6:$AL$6&lt;&gt;"RH"),H8:AL8)+SUMPRODUCT(($H$5:$AL$5="Tue")*($H$6:$AL$6&lt;&gt;"PH")*($H$6:$AL$6&lt;&gt;"RH"),H8:AL8)+SUMPRODUCT(($H$5:$AL$5="Wed")*($H$6:$AL$6&lt;&gt;"PH")*($H$6:$AL$6&lt;&gt;"RH"),H8:AL8)+SUMPRODUCT(($H$5:$AL$5="Thu")*($H$6:$AL$6&lt;&gt;"PH")*($H$6:$AL$6&lt;&gt;"RH"),H8:AL8)+SUMPRODUCT(($H$5:$AL$5="Fri")*($H$6:$AL$6&lt;&gt;"PH")*($H$6:$AL$6&lt;&gt;"RH"),H8:AL8)))/2</f>
        <v>#VALUE!</v>
      </c>
      <c r="AR7" s="156" t="e">
        <f>((SUMPRODUCT(($H$5:$AL$5="Sat")*($H$6:$AL$6&lt;&gt;"PH"),H7:AL7)+SUMPRODUCT(($H$5:$AL$5="Sun")*($H$6:$AL$6&lt;&gt;"PH"),H7:AL7)+((SUMPRODUCT(($H$5:$AL$5="Mon")*($H$6:$AL$6="RH"),H7:AL7)+((SUMPRODUCT(($H$5:$AL$5="Tue")*($H$6:$AL$6="RH"),H7:AL7)+((SUMPRODUCT(($H$5:$AL$5="Wed")*($H$6:$AL$6="RH"),H7:AL7)+((SUMPRODUCT(($H$5:$AL$5="Thu")*($H$6:$AL$6="RH"),H7:AL7)+((SUMPRODUCT(($H$5:$AL$5="Fri")*($H$6:$AL$6="RH"),H7:AL7)+(SUMPRODUCT(($H$5:$AL$5="Sat")*($H$6:$AL$6&lt;&gt;"PH"),H8:AL8)+SUMPRODUCT(($H$5:$AL$5="Sun")*($H$6:$AL$6&lt;&gt;"PH"),H8:AL8)+((SUMPRODUCT(($H$5:$AL$5="Mon")*($H$6:$AL$6="RH"),H8:AL8)+((SUMPRODUCT(($H$5:$AL$5="Tue")*($H$6:$AL$6="RH"),H8:AL8)+((SUMPRODUCT(($H$5:$AL$5="Wed")*($H$6:$AL$6="RH"),H8:AL8)+((SUMPRODUCT(($H$5:$AL$5="Thu")*($H$6:$AL$6="RH"),H8:AL8)+((SUMPRODUCT(($H$5:$AL$5="Fri")*($H$6:$AL$6="RH"),H8:AL8))))))))))))))))))))))))/2</f>
        <v>#VALUE!</v>
      </c>
      <c r="AS7" s="158">
        <f>(SUMIF($H$6:$AL$6,"PH",H7:AL7)+SUMIF($H$6:$AL$6,"PH",H8:AL8))/2</f>
        <v>0</v>
      </c>
      <c r="AT7" s="154">
        <f>ROUND(D7/8*AM7*1.5,2)</f>
        <v>157.5</v>
      </c>
      <c r="AU7" s="156">
        <f>ROUND(D7/8*AN7*2,2)</f>
        <v>538.13</v>
      </c>
      <c r="AV7" s="160">
        <f>ROUND(D7/8*AO7*3,2)</f>
        <v>236.25</v>
      </c>
      <c r="AW7" s="162" t="e">
        <f>(D7*(AQ7+2*AR7+3*AS7))+AT7+AU7+AV7+AP7</f>
        <v>#VALUE!</v>
      </c>
    </row>
    <row r="8" spans="1:50" ht="15" thickBot="1">
      <c r="A8" s="165"/>
      <c r="B8" s="193"/>
      <c r="C8" s="193"/>
      <c r="D8" s="193"/>
      <c r="E8" s="193"/>
      <c r="F8" s="189"/>
      <c r="G8" s="27" t="s">
        <v>91</v>
      </c>
      <c r="H8" s="28">
        <v>1</v>
      </c>
      <c r="I8" s="29">
        <v>1</v>
      </c>
      <c r="J8" s="29">
        <v>1</v>
      </c>
      <c r="K8" s="29">
        <v>1</v>
      </c>
      <c r="L8" s="29"/>
      <c r="M8" s="29">
        <v>1</v>
      </c>
      <c r="N8" s="29">
        <v>1</v>
      </c>
      <c r="O8" s="29">
        <v>1</v>
      </c>
      <c r="P8" s="29">
        <v>1</v>
      </c>
      <c r="Q8" s="29">
        <v>1</v>
      </c>
      <c r="R8" s="29"/>
      <c r="S8" s="29">
        <v>1</v>
      </c>
      <c r="T8" s="29">
        <v>1</v>
      </c>
      <c r="U8" s="29">
        <v>1</v>
      </c>
      <c r="V8" s="29">
        <v>1</v>
      </c>
      <c r="W8" s="29">
        <v>1</v>
      </c>
      <c r="X8" s="29">
        <v>1</v>
      </c>
      <c r="Y8" s="29">
        <v>1</v>
      </c>
      <c r="Z8" s="29">
        <v>1</v>
      </c>
      <c r="AA8" s="29">
        <v>1</v>
      </c>
      <c r="AB8" s="29"/>
      <c r="AC8" s="29">
        <v>1</v>
      </c>
      <c r="AD8" s="29">
        <v>1</v>
      </c>
      <c r="AE8" s="29">
        <v>1</v>
      </c>
      <c r="AF8" s="29"/>
      <c r="AG8" s="29">
        <v>1</v>
      </c>
      <c r="AH8" s="29">
        <v>1</v>
      </c>
      <c r="AI8" s="29">
        <v>1</v>
      </c>
      <c r="AJ8" s="29"/>
      <c r="AK8" s="29"/>
      <c r="AL8" s="30"/>
      <c r="AM8" s="191"/>
      <c r="AN8" s="193"/>
      <c r="AO8" s="195"/>
      <c r="AP8" s="189"/>
      <c r="AQ8" s="155"/>
      <c r="AR8" s="157"/>
      <c r="AS8" s="159"/>
      <c r="AT8" s="155"/>
      <c r="AU8" s="157"/>
      <c r="AV8" s="161"/>
      <c r="AW8" s="163"/>
    </row>
    <row r="9" spans="1:50">
      <c r="A9" s="164">
        <v>1</v>
      </c>
      <c r="B9" s="166"/>
      <c r="C9" s="166"/>
      <c r="D9" s="166"/>
      <c r="E9" s="166"/>
      <c r="F9" s="168"/>
      <c r="G9" s="23" t="s">
        <v>90</v>
      </c>
      <c r="H9" s="1"/>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3"/>
      <c r="AM9" s="170"/>
      <c r="AN9" s="172"/>
      <c r="AO9" s="174"/>
      <c r="AP9" s="152"/>
      <c r="AQ9" s="154" t="e">
        <f t="shared" ref="AQ9" si="1">((SUMPRODUCT(($H$5:$AL$5="Mon")*($H$6:$AL$6&lt;&gt;"PH")*($H$6:$AL$6&lt;&gt;"RH"),H9:AL9)+SUMPRODUCT(($H$5:$AL$5="Tue")*($H$6:$AL$6&lt;&gt;"PH")*($H$6:$AL$6&lt;&gt;"RH"),H9:AL9)+SUMPRODUCT(($H$5:$AL$5="Wed")*($H$6:$AL$6&lt;&gt;"PH")*($H$6:$AL$6&lt;&gt;"RH"),H9:AL9)+SUMPRODUCT(($H$5:$AL$5="Thu")*($H$6:$AL$6&lt;&gt;"PH")*($H$6:$AL$6&lt;&gt;"RH"),H9:AL9)+SUMPRODUCT(($H$5:$AL$5="Fri")*($H$6:$AL$6&lt;&gt;"PH")*($H$6:$AL$6&lt;&gt;"RH"),H9:AL9))+(SUMPRODUCT(($H$5:$AL$5="Mon")*($H$6:$AL$6&lt;&gt;"PH")*($H$6:$AL$6&lt;&gt;"RH"),H10:AL10)+SUMPRODUCT(($H$5:$AL$5="Tue")*($H$6:$AL$6&lt;&gt;"PH")*($H$6:$AL$6&lt;&gt;"RH"),H10:AL10)+SUMPRODUCT(($H$5:$AL$5="Wed")*($H$6:$AL$6&lt;&gt;"PH")*($H$6:$AL$6&lt;&gt;"RH"),H10:AL10)+SUMPRODUCT(($H$5:$AL$5="Thu")*($H$6:$AL$6&lt;&gt;"PH")*($H$6:$AL$6&lt;&gt;"RH"),H10:AL10)+SUMPRODUCT(($H$5:$AL$5="Fri")*($H$6:$AL$6&lt;&gt;"PH")*($H$6:$AL$6&lt;&gt;"RH"),H10:AL10)))/2</f>
        <v>#VALUE!</v>
      </c>
      <c r="AR9" s="156" t="e">
        <f>((SUMPRODUCT(($H$5:$AL$5="Sat")*($H$6:$AL$6&lt;&gt;"PH"),H9:AL9)+SUMPRODUCT(($H$5:$AL$5="Sun")*($H$6:$AL$6&lt;&gt;"PH"),H9:AL9)+((SUMPRODUCT(($H$5:$AL$5="Mon")*($H$6:$AL$6="RH"),H9:AL9)+((SUMPRODUCT(($H$5:$AL$5="Tue")*($H$6:$AL$6="RH"),H9:AL9)+((SUMPRODUCT(($H$5:$AL$5="Wed")*($H$6:$AL$6="RH"),H9:AL9)+((SUMPRODUCT(($H$5:$AL$5="Thu")*($H$6:$AL$6="RH"),H9:AL9)+((SUMPRODUCT(($H$5:$AL$5="Fri")*($H$6:$AL$6="RH"),H9:AL9)+(SUMPRODUCT(($H$5:$AL$5="Sat")*($H$6:$AL$6&lt;&gt;"PH"),H10:AL10)+SUMPRODUCT(($H$5:$AL$5="Sun")*($H$6:$AL$6&lt;&gt;"PH"),H10:AL10)+((SUMPRODUCT(($H$5:$AL$5="Mon")*($H$6:$AL$6="RH"),H10:AL10)+((SUMPRODUCT(($H$5:$AL$5="Tue")*($H$6:$AL$6="RH"),H10:AL10)+((SUMPRODUCT(($H$5:$AL$5="Wed")*($H$6:$AL$6="RH"),H10:AL10)+((SUMPRODUCT(($H$5:$AL$5="Thu")*($H$6:$AL$6="RH"),H10:AL10)+((SUMPRODUCT(($H$5:$AL$5="Fri")*($H$6:$AL$6="RH"),H10:AL10))))))))))))))))))))))))/2</f>
        <v>#VALUE!</v>
      </c>
      <c r="AS9" s="158">
        <f t="shared" ref="AS9" si="2">(SUMIF($H$6:$AL$6,"PH",H9:AL9)+SUMIF($H$6:$AL$6,"PH",H10:AL10))/2</f>
        <v>0</v>
      </c>
      <c r="AT9" s="154">
        <f t="shared" ref="AT9" si="3">ROUND(D9/8*AM9*1.5,2)</f>
        <v>0</v>
      </c>
      <c r="AU9" s="156">
        <f t="shared" ref="AU9" si="4">ROUND(D9/8*AN9*2,2)</f>
        <v>0</v>
      </c>
      <c r="AV9" s="160">
        <f t="shared" ref="AV9" si="5">ROUND(D9/8*AO9*3,2)</f>
        <v>0</v>
      </c>
      <c r="AW9" s="162" t="e">
        <f>(D9*(AQ9+2*AR9+3*AS9))+AT9+AU9+AV9+AP9</f>
        <v>#VALUE!</v>
      </c>
    </row>
    <row r="10" spans="1:50" ht="15" thickBot="1">
      <c r="A10" s="165"/>
      <c r="B10" s="167"/>
      <c r="C10" s="167"/>
      <c r="D10" s="167"/>
      <c r="E10" s="167"/>
      <c r="F10" s="169"/>
      <c r="G10" s="27" t="s">
        <v>91</v>
      </c>
      <c r="H10" s="4"/>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6"/>
      <c r="AM10" s="171"/>
      <c r="AN10" s="173"/>
      <c r="AO10" s="175"/>
      <c r="AP10" s="153"/>
      <c r="AQ10" s="155"/>
      <c r="AR10" s="157"/>
      <c r="AS10" s="159"/>
      <c r="AT10" s="155"/>
      <c r="AU10" s="157"/>
      <c r="AV10" s="161"/>
      <c r="AW10" s="163"/>
      <c r="AX10" s="31"/>
    </row>
    <row r="11" spans="1:50">
      <c r="A11" s="164">
        <v>2</v>
      </c>
      <c r="B11" s="166"/>
      <c r="C11" s="166"/>
      <c r="D11" s="166"/>
      <c r="E11" s="166"/>
      <c r="F11" s="168"/>
      <c r="G11" s="23" t="s">
        <v>90</v>
      </c>
      <c r="H11" s="1"/>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3"/>
      <c r="AM11" s="170"/>
      <c r="AN11" s="172"/>
      <c r="AO11" s="174"/>
      <c r="AP11" s="152"/>
      <c r="AQ11" s="154" t="e">
        <f t="shared" ref="AQ11" si="6">((SUMPRODUCT(($H$5:$AL$5="Mon")*($H$6:$AL$6&lt;&gt;"PH")*($H$6:$AL$6&lt;&gt;"RH"),H11:AL11)+SUMPRODUCT(($H$5:$AL$5="Tue")*($H$6:$AL$6&lt;&gt;"PH")*($H$6:$AL$6&lt;&gt;"RH"),H11:AL11)+SUMPRODUCT(($H$5:$AL$5="Wed")*($H$6:$AL$6&lt;&gt;"PH")*($H$6:$AL$6&lt;&gt;"RH"),H11:AL11)+SUMPRODUCT(($H$5:$AL$5="Thu")*($H$6:$AL$6&lt;&gt;"PH")*($H$6:$AL$6&lt;&gt;"RH"),H11:AL11)+SUMPRODUCT(($H$5:$AL$5="Fri")*($H$6:$AL$6&lt;&gt;"PH")*($H$6:$AL$6&lt;&gt;"RH"),H11:AL11))+(SUMPRODUCT(($H$5:$AL$5="Mon")*($H$6:$AL$6&lt;&gt;"PH")*($H$6:$AL$6&lt;&gt;"RH"),H12:AL12)+SUMPRODUCT(($H$5:$AL$5="Tue")*($H$6:$AL$6&lt;&gt;"PH")*($H$6:$AL$6&lt;&gt;"RH"),H12:AL12)+SUMPRODUCT(($H$5:$AL$5="Wed")*($H$6:$AL$6&lt;&gt;"PH")*($H$6:$AL$6&lt;&gt;"RH"),H12:AL12)+SUMPRODUCT(($H$5:$AL$5="Thu")*($H$6:$AL$6&lt;&gt;"PH")*($H$6:$AL$6&lt;&gt;"RH"),H12:AL12)+SUMPRODUCT(($H$5:$AL$5="Fri")*($H$6:$AL$6&lt;&gt;"PH")*($H$6:$AL$6&lt;&gt;"RH"),H12:AL12)))/2</f>
        <v>#VALUE!</v>
      </c>
      <c r="AR11" s="156" t="e">
        <f>((SUMPRODUCT(($H$5:$AL$5="Sat")*($H$6:$AL$6&lt;&gt;"PH"),H11:AL11)+SUMPRODUCT(($H$5:$AL$5="Sun")*($H$6:$AL$6&lt;&gt;"PH"),H11:AL11)+((SUMPRODUCT(($H$5:$AL$5="Mon")*($H$6:$AL$6="RH"),H11:AL11)+((SUMPRODUCT(($H$5:$AL$5="Tue")*($H$6:$AL$6="RH"),H11:AL11)+((SUMPRODUCT(($H$5:$AL$5="Wed")*($H$6:$AL$6="RH"),H11:AL11)+((SUMPRODUCT(($H$5:$AL$5="Thu")*($H$6:$AL$6="RH"),H11:AL11)+((SUMPRODUCT(($H$5:$AL$5="Fri")*($H$6:$AL$6="RH"),H11:AL11)+(SUMPRODUCT(($H$5:$AL$5="Sat")*($H$6:$AL$6&lt;&gt;"PH"),H12:AL12)+SUMPRODUCT(($H$5:$AL$5="Sun")*($H$6:$AL$6&lt;&gt;"PH"),H12:AL12)+((SUMPRODUCT(($H$5:$AL$5="Mon")*($H$6:$AL$6="RH"),H12:AL12)+((SUMPRODUCT(($H$5:$AL$5="Tue")*($H$6:$AL$6="RH"),H12:AL12)+((SUMPRODUCT(($H$5:$AL$5="Wed")*($H$6:$AL$6="RH"),H12:AL12)+((SUMPRODUCT(($H$5:$AL$5="Thu")*($H$6:$AL$6="RH"),H12:AL12)+((SUMPRODUCT(($H$5:$AL$5="Fri")*($H$6:$AL$6="RH"),H12:AL12))))))))))))))))))))))))/2</f>
        <v>#VALUE!</v>
      </c>
      <c r="AS11" s="158">
        <f t="shared" ref="AS11" si="7">(SUMIF($H$6:$AL$6,"PH",H11:AL11)+SUMIF($H$6:$AL$6,"PH",H12:AL12))/2</f>
        <v>0</v>
      </c>
      <c r="AT11" s="154">
        <f t="shared" ref="AT11" si="8">ROUND(D11/8*AM11*1.5,2)</f>
        <v>0</v>
      </c>
      <c r="AU11" s="156">
        <f t="shared" ref="AU11" si="9">ROUND(D11/8*AN11*2,2)</f>
        <v>0</v>
      </c>
      <c r="AV11" s="160">
        <f t="shared" ref="AV11" si="10">ROUND(D11/8*AO11*3,2)</f>
        <v>0</v>
      </c>
      <c r="AW11" s="162" t="e">
        <f t="shared" ref="AW11" si="11">(D11*(AQ11+2*AR11+3*AS11))+AT11+AU11+AV11+AP11</f>
        <v>#VALUE!</v>
      </c>
      <c r="AX11" s="31"/>
    </row>
    <row r="12" spans="1:50" ht="15" thickBot="1">
      <c r="A12" s="165"/>
      <c r="B12" s="167"/>
      <c r="C12" s="167"/>
      <c r="D12" s="167"/>
      <c r="E12" s="167"/>
      <c r="F12" s="169"/>
      <c r="G12" s="27" t="s">
        <v>91</v>
      </c>
      <c r="H12" s="4"/>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6"/>
      <c r="AM12" s="171"/>
      <c r="AN12" s="173"/>
      <c r="AO12" s="175"/>
      <c r="AP12" s="153"/>
      <c r="AQ12" s="155"/>
      <c r="AR12" s="157"/>
      <c r="AS12" s="159"/>
      <c r="AT12" s="155"/>
      <c r="AU12" s="157"/>
      <c r="AV12" s="161"/>
      <c r="AW12" s="163"/>
    </row>
    <row r="13" spans="1:50">
      <c r="A13" s="164">
        <v>3</v>
      </c>
      <c r="B13" s="166"/>
      <c r="C13" s="166"/>
      <c r="D13" s="166"/>
      <c r="E13" s="166"/>
      <c r="F13" s="168"/>
      <c r="G13" s="23" t="s">
        <v>90</v>
      </c>
      <c r="H13" s="1"/>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3"/>
      <c r="AM13" s="170"/>
      <c r="AN13" s="172"/>
      <c r="AO13" s="174"/>
      <c r="AP13" s="152"/>
      <c r="AQ13" s="154" t="e">
        <f t="shared" ref="AQ13" si="12">((SUMPRODUCT(($H$5:$AL$5="Mon")*($H$6:$AL$6&lt;&gt;"PH")*($H$6:$AL$6&lt;&gt;"RH"),H13:AL13)+SUMPRODUCT(($H$5:$AL$5="Tue")*($H$6:$AL$6&lt;&gt;"PH")*($H$6:$AL$6&lt;&gt;"RH"),H13:AL13)+SUMPRODUCT(($H$5:$AL$5="Wed")*($H$6:$AL$6&lt;&gt;"PH")*($H$6:$AL$6&lt;&gt;"RH"),H13:AL13)+SUMPRODUCT(($H$5:$AL$5="Thu")*($H$6:$AL$6&lt;&gt;"PH")*($H$6:$AL$6&lt;&gt;"RH"),H13:AL13)+SUMPRODUCT(($H$5:$AL$5="Fri")*($H$6:$AL$6&lt;&gt;"PH")*($H$6:$AL$6&lt;&gt;"RH"),H13:AL13))+(SUMPRODUCT(($H$5:$AL$5="Mon")*($H$6:$AL$6&lt;&gt;"PH")*($H$6:$AL$6&lt;&gt;"RH"),H14:AL14)+SUMPRODUCT(($H$5:$AL$5="Tue")*($H$6:$AL$6&lt;&gt;"PH")*($H$6:$AL$6&lt;&gt;"RH"),H14:AL14)+SUMPRODUCT(($H$5:$AL$5="Wed")*($H$6:$AL$6&lt;&gt;"PH")*($H$6:$AL$6&lt;&gt;"RH"),H14:AL14)+SUMPRODUCT(($H$5:$AL$5="Thu")*($H$6:$AL$6&lt;&gt;"PH")*($H$6:$AL$6&lt;&gt;"RH"),H14:AL14)+SUMPRODUCT(($H$5:$AL$5="Fri")*($H$6:$AL$6&lt;&gt;"PH")*($H$6:$AL$6&lt;&gt;"RH"),H14:AL14)))/2</f>
        <v>#VALUE!</v>
      </c>
      <c r="AR13" s="156" t="e">
        <f>((SUMPRODUCT(($H$5:$AL$5="Sat")*($H$6:$AL$6&lt;&gt;"PH"),H13:AL13)+SUMPRODUCT(($H$5:$AL$5="Sun")*($H$6:$AL$6&lt;&gt;"PH"),H13:AL13)+((SUMPRODUCT(($H$5:$AL$5="Mon")*($H$6:$AL$6="RH"),H13:AL13)+((SUMPRODUCT(($H$5:$AL$5="Tue")*($H$6:$AL$6="RH"),H13:AL13)+((SUMPRODUCT(($H$5:$AL$5="Wed")*($H$6:$AL$6="RH"),H13:AL13)+((SUMPRODUCT(($H$5:$AL$5="Thu")*($H$6:$AL$6="RH"),H13:AL13)+((SUMPRODUCT(($H$5:$AL$5="Fri")*($H$6:$AL$6="RH"),H13:AL13)+(SUMPRODUCT(($H$5:$AL$5="Sat")*($H$6:$AL$6&lt;&gt;"PH"),H14:AL14)+SUMPRODUCT(($H$5:$AL$5="Sun")*($H$6:$AL$6&lt;&gt;"PH"),H14:AL14)+((SUMPRODUCT(($H$5:$AL$5="Mon")*($H$6:$AL$6="RH"),H14:AL14)+((SUMPRODUCT(($H$5:$AL$5="Tue")*($H$6:$AL$6="RH"),H14:AL14)+((SUMPRODUCT(($H$5:$AL$5="Wed")*($H$6:$AL$6="RH"),H14:AL14)+((SUMPRODUCT(($H$5:$AL$5="Thu")*($H$6:$AL$6="RH"),H14:AL14)+((SUMPRODUCT(($H$5:$AL$5="Fri")*($H$6:$AL$6="RH"),H14:AL14))))))))))))))))))))))))/2</f>
        <v>#VALUE!</v>
      </c>
      <c r="AS13" s="158">
        <f t="shared" ref="AS13" si="13">(SUMIF($H$6:$AL$6,"PH",H13:AL13)+SUMIF($H$6:$AL$6,"PH",H14:AL14))/2</f>
        <v>0</v>
      </c>
      <c r="AT13" s="154">
        <f t="shared" ref="AT13" si="14">ROUND(D13/8*AM13*1.5,2)</f>
        <v>0</v>
      </c>
      <c r="AU13" s="156">
        <f t="shared" ref="AU13" si="15">ROUND(D13/8*AN13*2,2)</f>
        <v>0</v>
      </c>
      <c r="AV13" s="160">
        <f t="shared" ref="AV13" si="16">ROUND(D13/8*AO13*3,2)</f>
        <v>0</v>
      </c>
      <c r="AW13" s="162" t="e">
        <f>(D13*(AQ13+2*AR13+3*AS13))+AT13+AU13+AV13+AP13</f>
        <v>#VALUE!</v>
      </c>
    </row>
    <row r="14" spans="1:50" ht="15" thickBot="1">
      <c r="A14" s="165"/>
      <c r="B14" s="167"/>
      <c r="C14" s="167"/>
      <c r="D14" s="167"/>
      <c r="E14" s="167"/>
      <c r="F14" s="169"/>
      <c r="G14" s="27" t="s">
        <v>91</v>
      </c>
      <c r="H14" s="4"/>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6"/>
      <c r="AM14" s="171"/>
      <c r="AN14" s="173"/>
      <c r="AO14" s="175"/>
      <c r="AP14" s="153"/>
      <c r="AQ14" s="155"/>
      <c r="AR14" s="157"/>
      <c r="AS14" s="159"/>
      <c r="AT14" s="155"/>
      <c r="AU14" s="157"/>
      <c r="AV14" s="161"/>
      <c r="AW14" s="163"/>
    </row>
    <row r="15" spans="1:50">
      <c r="A15" s="164">
        <v>4</v>
      </c>
      <c r="B15" s="166"/>
      <c r="C15" s="166"/>
      <c r="D15" s="166"/>
      <c r="E15" s="166"/>
      <c r="F15" s="168"/>
      <c r="G15" s="23" t="s">
        <v>90</v>
      </c>
      <c r="H15" s="1"/>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3"/>
      <c r="AM15" s="170"/>
      <c r="AN15" s="172"/>
      <c r="AO15" s="174"/>
      <c r="AP15" s="152"/>
      <c r="AQ15" s="154" t="e">
        <f t="shared" ref="AQ15" si="17">((SUMPRODUCT(($H$5:$AL$5="Mon")*($H$6:$AL$6&lt;&gt;"PH")*($H$6:$AL$6&lt;&gt;"RH"),H15:AL15)+SUMPRODUCT(($H$5:$AL$5="Tue")*($H$6:$AL$6&lt;&gt;"PH")*($H$6:$AL$6&lt;&gt;"RH"),H15:AL15)+SUMPRODUCT(($H$5:$AL$5="Wed")*($H$6:$AL$6&lt;&gt;"PH")*($H$6:$AL$6&lt;&gt;"RH"),H15:AL15)+SUMPRODUCT(($H$5:$AL$5="Thu")*($H$6:$AL$6&lt;&gt;"PH")*($H$6:$AL$6&lt;&gt;"RH"),H15:AL15)+SUMPRODUCT(($H$5:$AL$5="Fri")*($H$6:$AL$6&lt;&gt;"PH")*($H$6:$AL$6&lt;&gt;"RH"),H15:AL15))+(SUMPRODUCT(($H$5:$AL$5="Mon")*($H$6:$AL$6&lt;&gt;"PH")*($H$6:$AL$6&lt;&gt;"RH"),H16:AL16)+SUMPRODUCT(($H$5:$AL$5="Tue")*($H$6:$AL$6&lt;&gt;"PH")*($H$6:$AL$6&lt;&gt;"RH"),H16:AL16)+SUMPRODUCT(($H$5:$AL$5="Wed")*($H$6:$AL$6&lt;&gt;"PH")*($H$6:$AL$6&lt;&gt;"RH"),H16:AL16)+SUMPRODUCT(($H$5:$AL$5="Thu")*($H$6:$AL$6&lt;&gt;"PH")*($H$6:$AL$6&lt;&gt;"RH"),H16:AL16)+SUMPRODUCT(($H$5:$AL$5="Fri")*($H$6:$AL$6&lt;&gt;"PH")*($H$6:$AL$6&lt;&gt;"RH"),H16:AL16)))/2</f>
        <v>#VALUE!</v>
      </c>
      <c r="AR15" s="156" t="e">
        <f>((SUMPRODUCT(($H$5:$AL$5="Sat")*($H$6:$AL$6&lt;&gt;"PH"),H15:AL15)+SUMPRODUCT(($H$5:$AL$5="Sun")*($H$6:$AL$6&lt;&gt;"PH"),H15:AL15)+((SUMPRODUCT(($H$5:$AL$5="Mon")*($H$6:$AL$6="RH"),H15:AL15)+((SUMPRODUCT(($H$5:$AL$5="Tue")*($H$6:$AL$6="RH"),H15:AL15)+((SUMPRODUCT(($H$5:$AL$5="Wed")*($H$6:$AL$6="RH"),H15:AL15)+((SUMPRODUCT(($H$5:$AL$5="Thu")*($H$6:$AL$6="RH"),H15:AL15)+((SUMPRODUCT(($H$5:$AL$5="Fri")*($H$6:$AL$6="RH"),H15:AL15)+(SUMPRODUCT(($H$5:$AL$5="Sat")*($H$6:$AL$6&lt;&gt;"PH"),H16:AL16)+SUMPRODUCT(($H$5:$AL$5="Sun")*($H$6:$AL$6&lt;&gt;"PH"),H16:AL16)+((SUMPRODUCT(($H$5:$AL$5="Mon")*($H$6:$AL$6="RH"),H16:AL16)+((SUMPRODUCT(($H$5:$AL$5="Tue")*($H$6:$AL$6="RH"),H16:AL16)+((SUMPRODUCT(($H$5:$AL$5="Wed")*($H$6:$AL$6="RH"),H16:AL16)+((SUMPRODUCT(($H$5:$AL$5="Thu")*($H$6:$AL$6="RH"),H16:AL16)+((SUMPRODUCT(($H$5:$AL$5="Fri")*($H$6:$AL$6="RH"),H16:AL16))))))))))))))))))))))))/2</f>
        <v>#VALUE!</v>
      </c>
      <c r="AS15" s="158">
        <f t="shared" ref="AS15" si="18">(SUMIF($H$6:$AL$6,"PH",H15:AL15)+SUMIF($H$6:$AL$6,"PH",H16:AL16))/2</f>
        <v>0</v>
      </c>
      <c r="AT15" s="154">
        <f t="shared" ref="AT15" si="19">ROUND(D15/8*AM15*1.5,2)</f>
        <v>0</v>
      </c>
      <c r="AU15" s="156">
        <f t="shared" ref="AU15" si="20">ROUND(D15/8*AN15*2,2)</f>
        <v>0</v>
      </c>
      <c r="AV15" s="160">
        <f t="shared" ref="AV15" si="21">ROUND(D15/8*AO15*3,2)</f>
        <v>0</v>
      </c>
      <c r="AW15" s="162" t="e">
        <f>(D15*(AQ15+2*AR15+3*AS15))+AT15+AU15+AV15+AP15</f>
        <v>#VALUE!</v>
      </c>
    </row>
    <row r="16" spans="1:50" ht="15" thickBot="1">
      <c r="A16" s="165"/>
      <c r="B16" s="167"/>
      <c r="C16" s="167"/>
      <c r="D16" s="167"/>
      <c r="E16" s="167"/>
      <c r="F16" s="169"/>
      <c r="G16" s="27" t="s">
        <v>91</v>
      </c>
      <c r="H16" s="4"/>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6"/>
      <c r="AM16" s="171"/>
      <c r="AN16" s="173"/>
      <c r="AO16" s="175"/>
      <c r="AP16" s="153"/>
      <c r="AQ16" s="155"/>
      <c r="AR16" s="157"/>
      <c r="AS16" s="159"/>
      <c r="AT16" s="155"/>
      <c r="AU16" s="157"/>
      <c r="AV16" s="161"/>
      <c r="AW16" s="163"/>
    </row>
    <row r="17" spans="1:50">
      <c r="A17" s="164">
        <v>5</v>
      </c>
      <c r="B17" s="166"/>
      <c r="C17" s="166"/>
      <c r="D17" s="166"/>
      <c r="E17" s="166"/>
      <c r="F17" s="168"/>
      <c r="G17" s="23" t="s">
        <v>90</v>
      </c>
      <c r="H17" s="1"/>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3"/>
      <c r="AM17" s="170"/>
      <c r="AN17" s="172"/>
      <c r="AO17" s="174"/>
      <c r="AP17" s="152"/>
      <c r="AQ17" s="154" t="e">
        <f t="shared" ref="AQ17" si="22">((SUMPRODUCT(($H$5:$AL$5="Mon")*($H$6:$AL$6&lt;&gt;"PH")*($H$6:$AL$6&lt;&gt;"RH"),H17:AL17)+SUMPRODUCT(($H$5:$AL$5="Tue")*($H$6:$AL$6&lt;&gt;"PH")*($H$6:$AL$6&lt;&gt;"RH"),H17:AL17)+SUMPRODUCT(($H$5:$AL$5="Wed")*($H$6:$AL$6&lt;&gt;"PH")*($H$6:$AL$6&lt;&gt;"RH"),H17:AL17)+SUMPRODUCT(($H$5:$AL$5="Thu")*($H$6:$AL$6&lt;&gt;"PH")*($H$6:$AL$6&lt;&gt;"RH"),H17:AL17)+SUMPRODUCT(($H$5:$AL$5="Fri")*($H$6:$AL$6&lt;&gt;"PH")*($H$6:$AL$6&lt;&gt;"RH"),H17:AL17))+(SUMPRODUCT(($H$5:$AL$5="Mon")*($H$6:$AL$6&lt;&gt;"PH")*($H$6:$AL$6&lt;&gt;"RH"),H18:AL18)+SUMPRODUCT(($H$5:$AL$5="Tue")*($H$6:$AL$6&lt;&gt;"PH")*($H$6:$AL$6&lt;&gt;"RH"),H18:AL18)+SUMPRODUCT(($H$5:$AL$5="Wed")*($H$6:$AL$6&lt;&gt;"PH")*($H$6:$AL$6&lt;&gt;"RH"),H18:AL18)+SUMPRODUCT(($H$5:$AL$5="Thu")*($H$6:$AL$6&lt;&gt;"PH")*($H$6:$AL$6&lt;&gt;"RH"),H18:AL18)+SUMPRODUCT(($H$5:$AL$5="Fri")*($H$6:$AL$6&lt;&gt;"PH")*($H$6:$AL$6&lt;&gt;"RH"),H18:AL18)))/2</f>
        <v>#VALUE!</v>
      </c>
      <c r="AR17" s="156" t="e">
        <f>((SUMPRODUCT(($H$5:$AL$5="Sat")*($H$6:$AL$6&lt;&gt;"PH"),H17:AL17)+SUMPRODUCT(($H$5:$AL$5="Sun")*($H$6:$AL$6&lt;&gt;"PH"),H17:AL17)+((SUMPRODUCT(($H$5:$AL$5="Mon")*($H$6:$AL$6="RH"),H17:AL17)+((SUMPRODUCT(($H$5:$AL$5="Tue")*($H$6:$AL$6="RH"),H17:AL17)+((SUMPRODUCT(($H$5:$AL$5="Wed")*($H$6:$AL$6="RH"),H17:AL17)+((SUMPRODUCT(($H$5:$AL$5="Thu")*($H$6:$AL$6="RH"),H17:AL17)+((SUMPRODUCT(($H$5:$AL$5="Fri")*($H$6:$AL$6="RH"),H17:AL17)+(SUMPRODUCT(($H$5:$AL$5="Sat")*($H$6:$AL$6&lt;&gt;"PH"),H18:AL18)+SUMPRODUCT(($H$5:$AL$5="Sun")*($H$6:$AL$6&lt;&gt;"PH"),H18:AL18)+((SUMPRODUCT(($H$5:$AL$5="Mon")*($H$6:$AL$6="RH"),H18:AL18)+((SUMPRODUCT(($H$5:$AL$5="Tue")*($H$6:$AL$6="RH"),H18:AL18)+((SUMPRODUCT(($H$5:$AL$5="Wed")*($H$6:$AL$6="RH"),H18:AL18)+((SUMPRODUCT(($H$5:$AL$5="Thu")*($H$6:$AL$6="RH"),H18:AL18)+((SUMPRODUCT(($H$5:$AL$5="Fri")*($H$6:$AL$6="RH"),H18:AL18))))))))))))))))))))))))/2</f>
        <v>#VALUE!</v>
      </c>
      <c r="AS17" s="158">
        <f t="shared" ref="AS17" si="23">(SUMIF($H$6:$AL$6,"PH",H17:AL17)+SUMIF($H$6:$AL$6,"PH",H18:AL18))/2</f>
        <v>0</v>
      </c>
      <c r="AT17" s="154">
        <f t="shared" ref="AT17" si="24">ROUND(D17/8*AM17*1.5,2)</f>
        <v>0</v>
      </c>
      <c r="AU17" s="156">
        <f t="shared" ref="AU17" si="25">ROUND(D17/8*AN17*2,2)</f>
        <v>0</v>
      </c>
      <c r="AV17" s="160">
        <f t="shared" ref="AV17" si="26">ROUND(D17/8*AO17*3,2)</f>
        <v>0</v>
      </c>
      <c r="AW17" s="162" t="e">
        <f>(D17*(AQ17+2*AR17+3*AS17))+AT17+AU17+AV17+AP17</f>
        <v>#VALUE!</v>
      </c>
    </row>
    <row r="18" spans="1:50" ht="15" thickBot="1">
      <c r="A18" s="165"/>
      <c r="B18" s="167"/>
      <c r="C18" s="167"/>
      <c r="D18" s="167"/>
      <c r="E18" s="167"/>
      <c r="F18" s="169"/>
      <c r="G18" s="27" t="s">
        <v>91</v>
      </c>
      <c r="H18" s="4"/>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6"/>
      <c r="AM18" s="171"/>
      <c r="AN18" s="173"/>
      <c r="AO18" s="175"/>
      <c r="AP18" s="153"/>
      <c r="AQ18" s="155"/>
      <c r="AR18" s="157"/>
      <c r="AS18" s="159"/>
      <c r="AT18" s="155"/>
      <c r="AU18" s="157"/>
      <c r="AV18" s="161"/>
      <c r="AW18" s="163"/>
    </row>
    <row r="19" spans="1:50">
      <c r="A19" s="164">
        <v>6</v>
      </c>
      <c r="B19" s="166"/>
      <c r="C19" s="166"/>
      <c r="D19" s="166"/>
      <c r="E19" s="166"/>
      <c r="F19" s="168"/>
      <c r="G19" s="23" t="s">
        <v>90</v>
      </c>
      <c r="H19" s="1"/>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3"/>
      <c r="AM19" s="170"/>
      <c r="AN19" s="172"/>
      <c r="AO19" s="174"/>
      <c r="AP19" s="152"/>
      <c r="AQ19" s="154" t="e">
        <f t="shared" ref="AQ19" si="27">((SUMPRODUCT(($H$5:$AL$5="Mon")*($H$6:$AL$6&lt;&gt;"PH")*($H$6:$AL$6&lt;&gt;"RH"),H19:AL19)+SUMPRODUCT(($H$5:$AL$5="Tue")*($H$6:$AL$6&lt;&gt;"PH")*($H$6:$AL$6&lt;&gt;"RH"),H19:AL19)+SUMPRODUCT(($H$5:$AL$5="Wed")*($H$6:$AL$6&lt;&gt;"PH")*($H$6:$AL$6&lt;&gt;"RH"),H19:AL19)+SUMPRODUCT(($H$5:$AL$5="Thu")*($H$6:$AL$6&lt;&gt;"PH")*($H$6:$AL$6&lt;&gt;"RH"),H19:AL19)+SUMPRODUCT(($H$5:$AL$5="Fri")*($H$6:$AL$6&lt;&gt;"PH")*($H$6:$AL$6&lt;&gt;"RH"),H19:AL19))+(SUMPRODUCT(($H$5:$AL$5="Mon")*($H$6:$AL$6&lt;&gt;"PH")*($H$6:$AL$6&lt;&gt;"RH"),H20:AL20)+SUMPRODUCT(($H$5:$AL$5="Tue")*($H$6:$AL$6&lt;&gt;"PH")*($H$6:$AL$6&lt;&gt;"RH"),H20:AL20)+SUMPRODUCT(($H$5:$AL$5="Wed")*($H$6:$AL$6&lt;&gt;"PH")*($H$6:$AL$6&lt;&gt;"RH"),H20:AL20)+SUMPRODUCT(($H$5:$AL$5="Thu")*($H$6:$AL$6&lt;&gt;"PH")*($H$6:$AL$6&lt;&gt;"RH"),H20:AL20)+SUMPRODUCT(($H$5:$AL$5="Fri")*($H$6:$AL$6&lt;&gt;"PH")*($H$6:$AL$6&lt;&gt;"RH"),H20:AL20)))/2</f>
        <v>#VALUE!</v>
      </c>
      <c r="AR19" s="156" t="e">
        <f>((SUMPRODUCT(($H$5:$AL$5="Sat")*($H$6:$AL$6&lt;&gt;"PH"),H19:AL19)+SUMPRODUCT(($H$5:$AL$5="Sun")*($H$6:$AL$6&lt;&gt;"PH"),H19:AL19)+((SUMPRODUCT(($H$5:$AL$5="Mon")*($H$6:$AL$6="RH"),H19:AL19)+((SUMPRODUCT(($H$5:$AL$5="Tue")*($H$6:$AL$6="RH"),H19:AL19)+((SUMPRODUCT(($H$5:$AL$5="Wed")*($H$6:$AL$6="RH"),H19:AL19)+((SUMPRODUCT(($H$5:$AL$5="Thu")*($H$6:$AL$6="RH"),H19:AL19)+((SUMPRODUCT(($H$5:$AL$5="Fri")*($H$6:$AL$6="RH"),H19:AL19)+(SUMPRODUCT(($H$5:$AL$5="Sat")*($H$6:$AL$6&lt;&gt;"PH"),H20:AL20)+SUMPRODUCT(($H$5:$AL$5="Sun")*($H$6:$AL$6&lt;&gt;"PH"),H20:AL20)+((SUMPRODUCT(($H$5:$AL$5="Mon")*($H$6:$AL$6="RH"),H20:AL20)+((SUMPRODUCT(($H$5:$AL$5="Tue")*($H$6:$AL$6="RH"),H20:AL20)+((SUMPRODUCT(($H$5:$AL$5="Wed")*($H$6:$AL$6="RH"),H20:AL20)+((SUMPRODUCT(($H$5:$AL$5="Thu")*($H$6:$AL$6="RH"),H20:AL20)+((SUMPRODUCT(($H$5:$AL$5="Fri")*($H$6:$AL$6="RH"),H20:AL20))))))))))))))))))))))))/2</f>
        <v>#VALUE!</v>
      </c>
      <c r="AS19" s="158">
        <f t="shared" ref="AS19" si="28">(SUMIF($H$6:$AL$6,"PH",H19:AL19)+SUMIF($H$6:$AL$6,"PH",H20:AL20))/2</f>
        <v>0</v>
      </c>
      <c r="AT19" s="154">
        <f t="shared" ref="AT19" si="29">ROUND(D19/8*AM19*1.5,2)</f>
        <v>0</v>
      </c>
      <c r="AU19" s="156">
        <f t="shared" ref="AU19" si="30">ROUND(D19/8*AN19*2,2)</f>
        <v>0</v>
      </c>
      <c r="AV19" s="160">
        <f t="shared" ref="AV19" si="31">ROUND(D19/8*AO19*3,2)</f>
        <v>0</v>
      </c>
      <c r="AW19" s="162" t="e">
        <f t="shared" ref="AW19" si="32">(D19*(AQ19+2*AR19+3*AS19))+AT19+AU19+AV19+AP19</f>
        <v>#VALUE!</v>
      </c>
    </row>
    <row r="20" spans="1:50" ht="15" thickBot="1">
      <c r="A20" s="165"/>
      <c r="B20" s="167"/>
      <c r="C20" s="167"/>
      <c r="D20" s="167"/>
      <c r="E20" s="167"/>
      <c r="F20" s="169"/>
      <c r="G20" s="27" t="s">
        <v>91</v>
      </c>
      <c r="H20" s="4"/>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6"/>
      <c r="AM20" s="171"/>
      <c r="AN20" s="173"/>
      <c r="AO20" s="175"/>
      <c r="AP20" s="153"/>
      <c r="AQ20" s="155"/>
      <c r="AR20" s="157"/>
      <c r="AS20" s="159"/>
      <c r="AT20" s="155"/>
      <c r="AU20" s="157"/>
      <c r="AV20" s="161"/>
      <c r="AW20" s="163"/>
      <c r="AX20" s="31"/>
    </row>
    <row r="21" spans="1:50">
      <c r="A21" s="164">
        <v>7</v>
      </c>
      <c r="B21" s="166"/>
      <c r="C21" s="166"/>
      <c r="D21" s="166"/>
      <c r="E21" s="166"/>
      <c r="F21" s="168"/>
      <c r="G21" s="23" t="s">
        <v>90</v>
      </c>
      <c r="H21" s="1"/>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3"/>
      <c r="AM21" s="170"/>
      <c r="AN21" s="172"/>
      <c r="AO21" s="174"/>
      <c r="AP21" s="152"/>
      <c r="AQ21" s="154" t="e">
        <f t="shared" ref="AQ21" si="33">((SUMPRODUCT(($H$5:$AL$5="Mon")*($H$6:$AL$6&lt;&gt;"PH")*($H$6:$AL$6&lt;&gt;"RH"),H21:AL21)+SUMPRODUCT(($H$5:$AL$5="Tue")*($H$6:$AL$6&lt;&gt;"PH")*($H$6:$AL$6&lt;&gt;"RH"),H21:AL21)+SUMPRODUCT(($H$5:$AL$5="Wed")*($H$6:$AL$6&lt;&gt;"PH")*($H$6:$AL$6&lt;&gt;"RH"),H21:AL21)+SUMPRODUCT(($H$5:$AL$5="Thu")*($H$6:$AL$6&lt;&gt;"PH")*($H$6:$AL$6&lt;&gt;"RH"),H21:AL21)+SUMPRODUCT(($H$5:$AL$5="Fri")*($H$6:$AL$6&lt;&gt;"PH")*($H$6:$AL$6&lt;&gt;"RH"),H21:AL21))+(SUMPRODUCT(($H$5:$AL$5="Mon")*($H$6:$AL$6&lt;&gt;"PH")*($H$6:$AL$6&lt;&gt;"RH"),H22:AL22)+SUMPRODUCT(($H$5:$AL$5="Tue")*($H$6:$AL$6&lt;&gt;"PH")*($H$6:$AL$6&lt;&gt;"RH"),H22:AL22)+SUMPRODUCT(($H$5:$AL$5="Wed")*($H$6:$AL$6&lt;&gt;"PH")*($H$6:$AL$6&lt;&gt;"RH"),H22:AL22)+SUMPRODUCT(($H$5:$AL$5="Thu")*($H$6:$AL$6&lt;&gt;"PH")*($H$6:$AL$6&lt;&gt;"RH"),H22:AL22)+SUMPRODUCT(($H$5:$AL$5="Fri")*($H$6:$AL$6&lt;&gt;"PH")*($H$6:$AL$6&lt;&gt;"RH"),H22:AL22)))/2</f>
        <v>#VALUE!</v>
      </c>
      <c r="AR21" s="156" t="e">
        <f>((SUMPRODUCT(($H$5:$AL$5="Sat")*($H$6:$AL$6&lt;&gt;"PH"),H21:AL21)+SUMPRODUCT(($H$5:$AL$5="Sun")*($H$6:$AL$6&lt;&gt;"PH"),H21:AL21)+((SUMPRODUCT(($H$5:$AL$5="Mon")*($H$6:$AL$6="RH"),H21:AL21)+((SUMPRODUCT(($H$5:$AL$5="Tue")*($H$6:$AL$6="RH"),H21:AL21)+((SUMPRODUCT(($H$5:$AL$5="Wed")*($H$6:$AL$6="RH"),H21:AL21)+((SUMPRODUCT(($H$5:$AL$5="Thu")*($H$6:$AL$6="RH"),H21:AL21)+((SUMPRODUCT(($H$5:$AL$5="Fri")*($H$6:$AL$6="RH"),H21:AL21)+(SUMPRODUCT(($H$5:$AL$5="Sat")*($H$6:$AL$6&lt;&gt;"PH"),H22:AL22)+SUMPRODUCT(($H$5:$AL$5="Sun")*($H$6:$AL$6&lt;&gt;"PH"),H22:AL22)+((SUMPRODUCT(($H$5:$AL$5="Mon")*($H$6:$AL$6="RH"),H22:AL22)+((SUMPRODUCT(($H$5:$AL$5="Tue")*($H$6:$AL$6="RH"),H22:AL22)+((SUMPRODUCT(($H$5:$AL$5="Wed")*($H$6:$AL$6="RH"),H22:AL22)+((SUMPRODUCT(($H$5:$AL$5="Thu")*($H$6:$AL$6="RH"),H22:AL22)+((SUMPRODUCT(($H$5:$AL$5="Fri")*($H$6:$AL$6="RH"),H22:AL22))))))))))))))))))))))))/2</f>
        <v>#VALUE!</v>
      </c>
      <c r="AS21" s="158">
        <f t="shared" ref="AS21" si="34">(SUMIF($H$6:$AL$6,"PH",H21:AL21)+SUMIF($H$6:$AL$6,"PH",H22:AL22))/2</f>
        <v>0</v>
      </c>
      <c r="AT21" s="154">
        <f t="shared" ref="AT21" si="35">ROUND(D21/8*AM21*1.5,2)</f>
        <v>0</v>
      </c>
      <c r="AU21" s="156">
        <f t="shared" ref="AU21" si="36">ROUND(D21/8*AN21*2,2)</f>
        <v>0</v>
      </c>
      <c r="AV21" s="160">
        <f t="shared" ref="AV21" si="37">ROUND(D21/8*AO21*3,2)</f>
        <v>0</v>
      </c>
      <c r="AW21" s="162" t="e">
        <f t="shared" ref="AW21" si="38">(D21*(AQ21+2*AR21+3*AS21))+AT21+AU21+AV21+AP21</f>
        <v>#VALUE!</v>
      </c>
      <c r="AX21" s="31"/>
    </row>
    <row r="22" spans="1:50" ht="15" thickBot="1">
      <c r="A22" s="165"/>
      <c r="B22" s="167"/>
      <c r="C22" s="167"/>
      <c r="D22" s="167"/>
      <c r="E22" s="167"/>
      <c r="F22" s="169"/>
      <c r="G22" s="27" t="s">
        <v>91</v>
      </c>
      <c r="H22" s="4"/>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6"/>
      <c r="AM22" s="171"/>
      <c r="AN22" s="173"/>
      <c r="AO22" s="175"/>
      <c r="AP22" s="153"/>
      <c r="AQ22" s="155"/>
      <c r="AR22" s="157"/>
      <c r="AS22" s="159"/>
      <c r="AT22" s="155"/>
      <c r="AU22" s="157"/>
      <c r="AV22" s="161"/>
      <c r="AW22" s="163"/>
    </row>
    <row r="23" spans="1:50">
      <c r="A23" s="164">
        <v>8</v>
      </c>
      <c r="B23" s="166"/>
      <c r="C23" s="166"/>
      <c r="D23" s="166"/>
      <c r="E23" s="166"/>
      <c r="F23" s="168"/>
      <c r="G23" s="23" t="s">
        <v>90</v>
      </c>
      <c r="H23" s="1"/>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3"/>
      <c r="AM23" s="170"/>
      <c r="AN23" s="172"/>
      <c r="AO23" s="174"/>
      <c r="AP23" s="152"/>
      <c r="AQ23" s="154" t="e">
        <f t="shared" ref="AQ23" si="39">((SUMPRODUCT(($H$5:$AL$5="Mon")*($H$6:$AL$6&lt;&gt;"PH")*($H$6:$AL$6&lt;&gt;"RH"),H23:AL23)+SUMPRODUCT(($H$5:$AL$5="Tue")*($H$6:$AL$6&lt;&gt;"PH")*($H$6:$AL$6&lt;&gt;"RH"),H23:AL23)+SUMPRODUCT(($H$5:$AL$5="Wed")*($H$6:$AL$6&lt;&gt;"PH")*($H$6:$AL$6&lt;&gt;"RH"),H23:AL23)+SUMPRODUCT(($H$5:$AL$5="Thu")*($H$6:$AL$6&lt;&gt;"PH")*($H$6:$AL$6&lt;&gt;"RH"),H23:AL23)+SUMPRODUCT(($H$5:$AL$5="Fri")*($H$6:$AL$6&lt;&gt;"PH")*($H$6:$AL$6&lt;&gt;"RH"),H23:AL23))+(SUMPRODUCT(($H$5:$AL$5="Mon")*($H$6:$AL$6&lt;&gt;"PH")*($H$6:$AL$6&lt;&gt;"RH"),H24:AL24)+SUMPRODUCT(($H$5:$AL$5="Tue")*($H$6:$AL$6&lt;&gt;"PH")*($H$6:$AL$6&lt;&gt;"RH"),H24:AL24)+SUMPRODUCT(($H$5:$AL$5="Wed")*($H$6:$AL$6&lt;&gt;"PH")*($H$6:$AL$6&lt;&gt;"RH"),H24:AL24)+SUMPRODUCT(($H$5:$AL$5="Thu")*($H$6:$AL$6&lt;&gt;"PH")*($H$6:$AL$6&lt;&gt;"RH"),H24:AL24)+SUMPRODUCT(($H$5:$AL$5="Fri")*($H$6:$AL$6&lt;&gt;"PH")*($H$6:$AL$6&lt;&gt;"RH"),H24:AL24)))/2</f>
        <v>#VALUE!</v>
      </c>
      <c r="AR23" s="156" t="e">
        <f>((SUMPRODUCT(($H$5:$AL$5="Sat")*($H$6:$AL$6&lt;&gt;"PH"),H23:AL23)+SUMPRODUCT(($H$5:$AL$5="Sun")*($H$6:$AL$6&lt;&gt;"PH"),H23:AL23)+((SUMPRODUCT(($H$5:$AL$5="Mon")*($H$6:$AL$6="RH"),H23:AL23)+((SUMPRODUCT(($H$5:$AL$5="Tue")*($H$6:$AL$6="RH"),H23:AL23)+((SUMPRODUCT(($H$5:$AL$5="Wed")*($H$6:$AL$6="RH"),H23:AL23)+((SUMPRODUCT(($H$5:$AL$5="Thu")*($H$6:$AL$6="RH"),H23:AL23)+((SUMPRODUCT(($H$5:$AL$5="Fri")*($H$6:$AL$6="RH"),H23:AL23)+(SUMPRODUCT(($H$5:$AL$5="Sat")*($H$6:$AL$6&lt;&gt;"PH"),H24:AL24)+SUMPRODUCT(($H$5:$AL$5="Sun")*($H$6:$AL$6&lt;&gt;"PH"),H24:AL24)+((SUMPRODUCT(($H$5:$AL$5="Mon")*($H$6:$AL$6="RH"),H24:AL24)+((SUMPRODUCT(($H$5:$AL$5="Tue")*($H$6:$AL$6="RH"),H24:AL24)+((SUMPRODUCT(($H$5:$AL$5="Wed")*($H$6:$AL$6="RH"),H24:AL24)+((SUMPRODUCT(($H$5:$AL$5="Thu")*($H$6:$AL$6="RH"),H24:AL24)+((SUMPRODUCT(($H$5:$AL$5="Fri")*($H$6:$AL$6="RH"),H24:AL24))))))))))))))))))))))))/2</f>
        <v>#VALUE!</v>
      </c>
      <c r="AS23" s="158">
        <f t="shared" ref="AS23" si="40">(SUMIF($H$6:$AL$6,"PH",H23:AL23)+SUMIF($H$6:$AL$6,"PH",H24:AL24))/2</f>
        <v>0</v>
      </c>
      <c r="AT23" s="154">
        <f t="shared" ref="AT23" si="41">ROUND(D23/8*AM23*1.5,2)</f>
        <v>0</v>
      </c>
      <c r="AU23" s="156">
        <f t="shared" ref="AU23" si="42">ROUND(D23/8*AN23*2,2)</f>
        <v>0</v>
      </c>
      <c r="AV23" s="160">
        <f t="shared" ref="AV23" si="43">ROUND(D23/8*AO23*3,2)</f>
        <v>0</v>
      </c>
      <c r="AW23" s="162" t="e">
        <f t="shared" ref="AW23" si="44">(D23*(AQ23+2*AR23+3*AS23))+AT23+AU23+AV23+AP23</f>
        <v>#VALUE!</v>
      </c>
    </row>
    <row r="24" spans="1:50" ht="15" thickBot="1">
      <c r="A24" s="165"/>
      <c r="B24" s="167"/>
      <c r="C24" s="167"/>
      <c r="D24" s="167"/>
      <c r="E24" s="167"/>
      <c r="F24" s="169"/>
      <c r="G24" s="27" t="s">
        <v>91</v>
      </c>
      <c r="H24" s="4"/>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6"/>
      <c r="AM24" s="171"/>
      <c r="AN24" s="173"/>
      <c r="AO24" s="175"/>
      <c r="AP24" s="153"/>
      <c r="AQ24" s="155"/>
      <c r="AR24" s="157"/>
      <c r="AS24" s="159"/>
      <c r="AT24" s="155"/>
      <c r="AU24" s="157"/>
      <c r="AV24" s="161"/>
      <c r="AW24" s="163"/>
    </row>
    <row r="25" spans="1:50">
      <c r="A25" s="164">
        <v>9</v>
      </c>
      <c r="B25" s="166"/>
      <c r="C25" s="166"/>
      <c r="D25" s="166"/>
      <c r="E25" s="166"/>
      <c r="F25" s="168"/>
      <c r="G25" s="23" t="s">
        <v>90</v>
      </c>
      <c r="H25" s="1"/>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3"/>
      <c r="AM25" s="170"/>
      <c r="AN25" s="172"/>
      <c r="AO25" s="174"/>
      <c r="AP25" s="152"/>
      <c r="AQ25" s="154" t="e">
        <f t="shared" ref="AQ25" si="45">((SUMPRODUCT(($H$5:$AL$5="Mon")*($H$6:$AL$6&lt;&gt;"PH")*($H$6:$AL$6&lt;&gt;"RH"),H25:AL25)+SUMPRODUCT(($H$5:$AL$5="Tue")*($H$6:$AL$6&lt;&gt;"PH")*($H$6:$AL$6&lt;&gt;"RH"),H25:AL25)+SUMPRODUCT(($H$5:$AL$5="Wed")*($H$6:$AL$6&lt;&gt;"PH")*($H$6:$AL$6&lt;&gt;"RH"),H25:AL25)+SUMPRODUCT(($H$5:$AL$5="Thu")*($H$6:$AL$6&lt;&gt;"PH")*($H$6:$AL$6&lt;&gt;"RH"),H25:AL25)+SUMPRODUCT(($H$5:$AL$5="Fri")*($H$6:$AL$6&lt;&gt;"PH")*($H$6:$AL$6&lt;&gt;"RH"),H25:AL25))+(SUMPRODUCT(($H$5:$AL$5="Mon")*($H$6:$AL$6&lt;&gt;"PH")*($H$6:$AL$6&lt;&gt;"RH"),H26:AL26)+SUMPRODUCT(($H$5:$AL$5="Tue")*($H$6:$AL$6&lt;&gt;"PH")*($H$6:$AL$6&lt;&gt;"RH"),H26:AL26)+SUMPRODUCT(($H$5:$AL$5="Wed")*($H$6:$AL$6&lt;&gt;"PH")*($H$6:$AL$6&lt;&gt;"RH"),H26:AL26)+SUMPRODUCT(($H$5:$AL$5="Thu")*($H$6:$AL$6&lt;&gt;"PH")*($H$6:$AL$6&lt;&gt;"RH"),H26:AL26)+SUMPRODUCT(($H$5:$AL$5="Fri")*($H$6:$AL$6&lt;&gt;"PH")*($H$6:$AL$6&lt;&gt;"RH"),H26:AL26)))/2</f>
        <v>#VALUE!</v>
      </c>
      <c r="AR25" s="156" t="e">
        <f>((SUMPRODUCT(($H$5:$AL$5="Sat")*($H$6:$AL$6&lt;&gt;"PH"),H25:AL25)+SUMPRODUCT(($H$5:$AL$5="Sun")*($H$6:$AL$6&lt;&gt;"PH"),H25:AL25)+((SUMPRODUCT(($H$5:$AL$5="Mon")*($H$6:$AL$6="RH"),H25:AL25)+((SUMPRODUCT(($H$5:$AL$5="Tue")*($H$6:$AL$6="RH"),H25:AL25)+((SUMPRODUCT(($H$5:$AL$5="Wed")*($H$6:$AL$6="RH"),H25:AL25)+((SUMPRODUCT(($H$5:$AL$5="Thu")*($H$6:$AL$6="RH"),H25:AL25)+((SUMPRODUCT(($H$5:$AL$5="Fri")*($H$6:$AL$6="RH"),H25:AL25)+(SUMPRODUCT(($H$5:$AL$5="Sat")*($H$6:$AL$6&lt;&gt;"PH"),H26:AL26)+SUMPRODUCT(($H$5:$AL$5="Sun")*($H$6:$AL$6&lt;&gt;"PH"),H26:AL26)+((SUMPRODUCT(($H$5:$AL$5="Mon")*($H$6:$AL$6="RH"),H26:AL26)+((SUMPRODUCT(($H$5:$AL$5="Tue")*($H$6:$AL$6="RH"),H26:AL26)+((SUMPRODUCT(($H$5:$AL$5="Wed")*($H$6:$AL$6="RH"),H26:AL26)+((SUMPRODUCT(($H$5:$AL$5="Thu")*($H$6:$AL$6="RH"),H26:AL26)+((SUMPRODUCT(($H$5:$AL$5="Fri")*($H$6:$AL$6="RH"),H26:AL26))))))))))))))))))))))))/2</f>
        <v>#VALUE!</v>
      </c>
      <c r="AS25" s="158">
        <f t="shared" ref="AS25" si="46">(SUMIF($H$6:$AL$6,"PH",H25:AL25)+SUMIF($H$6:$AL$6,"PH",H26:AL26))/2</f>
        <v>0</v>
      </c>
      <c r="AT25" s="154">
        <f t="shared" ref="AT25" si="47">ROUND(D25/8*AM25*1.5,2)</f>
        <v>0</v>
      </c>
      <c r="AU25" s="156">
        <f t="shared" ref="AU25" si="48">ROUND(D25/8*AN25*2,2)</f>
        <v>0</v>
      </c>
      <c r="AV25" s="160">
        <f t="shared" ref="AV25" si="49">ROUND(D25/8*AO25*3,2)</f>
        <v>0</v>
      </c>
      <c r="AW25" s="162" t="e">
        <f t="shared" ref="AW25" si="50">(D25*(AQ25+2*AR25+3*AS25))+AT25+AU25+AV25+AP25</f>
        <v>#VALUE!</v>
      </c>
    </row>
    <row r="26" spans="1:50" ht="15" thickBot="1">
      <c r="A26" s="165"/>
      <c r="B26" s="167"/>
      <c r="C26" s="167"/>
      <c r="D26" s="167"/>
      <c r="E26" s="167"/>
      <c r="F26" s="169"/>
      <c r="G26" s="27" t="s">
        <v>91</v>
      </c>
      <c r="H26" s="4"/>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6"/>
      <c r="AM26" s="171"/>
      <c r="AN26" s="173"/>
      <c r="AO26" s="175"/>
      <c r="AP26" s="153"/>
      <c r="AQ26" s="155"/>
      <c r="AR26" s="157"/>
      <c r="AS26" s="159"/>
      <c r="AT26" s="155"/>
      <c r="AU26" s="157"/>
      <c r="AV26" s="161"/>
      <c r="AW26" s="163"/>
    </row>
    <row r="27" spans="1:50">
      <c r="A27" s="164">
        <v>10</v>
      </c>
      <c r="B27" s="166"/>
      <c r="C27" s="166"/>
      <c r="D27" s="166"/>
      <c r="E27" s="166"/>
      <c r="F27" s="168"/>
      <c r="G27" s="23" t="s">
        <v>90</v>
      </c>
      <c r="H27" s="1"/>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3"/>
      <c r="AM27" s="170"/>
      <c r="AN27" s="172"/>
      <c r="AO27" s="174"/>
      <c r="AP27" s="152"/>
      <c r="AQ27" s="154" t="e">
        <f t="shared" ref="AQ27" si="51">((SUMPRODUCT(($H$5:$AL$5="Mon")*($H$6:$AL$6&lt;&gt;"PH")*($H$6:$AL$6&lt;&gt;"RH"),H27:AL27)+SUMPRODUCT(($H$5:$AL$5="Tue")*($H$6:$AL$6&lt;&gt;"PH")*($H$6:$AL$6&lt;&gt;"RH"),H27:AL27)+SUMPRODUCT(($H$5:$AL$5="Wed")*($H$6:$AL$6&lt;&gt;"PH")*($H$6:$AL$6&lt;&gt;"RH"),H27:AL27)+SUMPRODUCT(($H$5:$AL$5="Thu")*($H$6:$AL$6&lt;&gt;"PH")*($H$6:$AL$6&lt;&gt;"RH"),H27:AL27)+SUMPRODUCT(($H$5:$AL$5="Fri")*($H$6:$AL$6&lt;&gt;"PH")*($H$6:$AL$6&lt;&gt;"RH"),H27:AL27))+(SUMPRODUCT(($H$5:$AL$5="Mon")*($H$6:$AL$6&lt;&gt;"PH")*($H$6:$AL$6&lt;&gt;"RH"),H28:AL28)+SUMPRODUCT(($H$5:$AL$5="Tue")*($H$6:$AL$6&lt;&gt;"PH")*($H$6:$AL$6&lt;&gt;"RH"),H28:AL28)+SUMPRODUCT(($H$5:$AL$5="Wed")*($H$6:$AL$6&lt;&gt;"PH")*($H$6:$AL$6&lt;&gt;"RH"),H28:AL28)+SUMPRODUCT(($H$5:$AL$5="Thu")*($H$6:$AL$6&lt;&gt;"PH")*($H$6:$AL$6&lt;&gt;"RH"),H28:AL28)+SUMPRODUCT(($H$5:$AL$5="Fri")*($H$6:$AL$6&lt;&gt;"PH")*($H$6:$AL$6&lt;&gt;"RH"),H28:AL28)))/2</f>
        <v>#VALUE!</v>
      </c>
      <c r="AR27" s="156" t="e">
        <f>((SUMPRODUCT(($H$5:$AL$5="Sat")*($H$6:$AL$6&lt;&gt;"PH"),H27:AL27)+SUMPRODUCT(($H$5:$AL$5="Sun")*($H$6:$AL$6&lt;&gt;"PH"),H27:AL27)+((SUMPRODUCT(($H$5:$AL$5="Mon")*($H$6:$AL$6="RH"),H27:AL27)+((SUMPRODUCT(($H$5:$AL$5="Tue")*($H$6:$AL$6="RH"),H27:AL27)+((SUMPRODUCT(($H$5:$AL$5="Wed")*($H$6:$AL$6="RH"),H27:AL27)+((SUMPRODUCT(($H$5:$AL$5="Thu")*($H$6:$AL$6="RH"),H27:AL27)+((SUMPRODUCT(($H$5:$AL$5="Fri")*($H$6:$AL$6="RH"),H27:AL27)+(SUMPRODUCT(($H$5:$AL$5="Sat")*($H$6:$AL$6&lt;&gt;"PH"),H28:AL28)+SUMPRODUCT(($H$5:$AL$5="Sun")*($H$6:$AL$6&lt;&gt;"PH"),H28:AL28)+((SUMPRODUCT(($H$5:$AL$5="Mon")*($H$6:$AL$6="RH"),H28:AL28)+((SUMPRODUCT(($H$5:$AL$5="Tue")*($H$6:$AL$6="RH"),H28:AL28)+((SUMPRODUCT(($H$5:$AL$5="Wed")*($H$6:$AL$6="RH"),H28:AL28)+((SUMPRODUCT(($H$5:$AL$5="Thu")*($H$6:$AL$6="RH"),H28:AL28)+((SUMPRODUCT(($H$5:$AL$5="Fri")*($H$6:$AL$6="RH"),H28:AL28))))))))))))))))))))))))/2</f>
        <v>#VALUE!</v>
      </c>
      <c r="AS27" s="158">
        <f t="shared" ref="AS27" si="52">(SUMIF($H$6:$AL$6,"PH",H27:AL27)+SUMIF($H$6:$AL$6,"PH",H28:AL28))/2</f>
        <v>0</v>
      </c>
      <c r="AT27" s="154">
        <f t="shared" ref="AT27" si="53">ROUND(D27/8*AM27*1.5,2)</f>
        <v>0</v>
      </c>
      <c r="AU27" s="156">
        <f t="shared" ref="AU27" si="54">ROUND(D27/8*AN27*2,2)</f>
        <v>0</v>
      </c>
      <c r="AV27" s="160">
        <f t="shared" ref="AV27" si="55">ROUND(D27/8*AO27*3,2)</f>
        <v>0</v>
      </c>
      <c r="AW27" s="162" t="e">
        <f t="shared" ref="AW27" si="56">(D27*(AQ27+2*AR27+3*AS27))+AT27+AU27+AV27+AP27</f>
        <v>#VALUE!</v>
      </c>
    </row>
    <row r="28" spans="1:50" ht="15" thickBot="1">
      <c r="A28" s="165"/>
      <c r="B28" s="167"/>
      <c r="C28" s="167"/>
      <c r="D28" s="167"/>
      <c r="E28" s="167"/>
      <c r="F28" s="169"/>
      <c r="G28" s="27" t="s">
        <v>91</v>
      </c>
      <c r="H28" s="4"/>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6"/>
      <c r="AM28" s="171"/>
      <c r="AN28" s="173"/>
      <c r="AO28" s="175"/>
      <c r="AP28" s="153"/>
      <c r="AQ28" s="155"/>
      <c r="AR28" s="157"/>
      <c r="AS28" s="159"/>
      <c r="AT28" s="155"/>
      <c r="AU28" s="157"/>
      <c r="AV28" s="161"/>
      <c r="AW28" s="163"/>
    </row>
    <row r="29" spans="1:50">
      <c r="A29" s="164">
        <v>11</v>
      </c>
      <c r="B29" s="166"/>
      <c r="C29" s="166"/>
      <c r="D29" s="166"/>
      <c r="E29" s="166"/>
      <c r="F29" s="168"/>
      <c r="G29" s="23" t="s">
        <v>90</v>
      </c>
      <c r="H29" s="1"/>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3"/>
      <c r="AM29" s="170"/>
      <c r="AN29" s="172"/>
      <c r="AO29" s="174"/>
      <c r="AP29" s="152"/>
      <c r="AQ29" s="154" t="e">
        <f t="shared" ref="AQ29" si="57">((SUMPRODUCT(($H$5:$AL$5="Mon")*($H$6:$AL$6&lt;&gt;"PH")*($H$6:$AL$6&lt;&gt;"RH"),H29:AL29)+SUMPRODUCT(($H$5:$AL$5="Tue")*($H$6:$AL$6&lt;&gt;"PH")*($H$6:$AL$6&lt;&gt;"RH"),H29:AL29)+SUMPRODUCT(($H$5:$AL$5="Wed")*($H$6:$AL$6&lt;&gt;"PH")*($H$6:$AL$6&lt;&gt;"RH"),H29:AL29)+SUMPRODUCT(($H$5:$AL$5="Thu")*($H$6:$AL$6&lt;&gt;"PH")*($H$6:$AL$6&lt;&gt;"RH"),H29:AL29)+SUMPRODUCT(($H$5:$AL$5="Fri")*($H$6:$AL$6&lt;&gt;"PH")*($H$6:$AL$6&lt;&gt;"RH"),H29:AL29))+(SUMPRODUCT(($H$5:$AL$5="Mon")*($H$6:$AL$6&lt;&gt;"PH")*($H$6:$AL$6&lt;&gt;"RH"),H30:AL30)+SUMPRODUCT(($H$5:$AL$5="Tue")*($H$6:$AL$6&lt;&gt;"PH")*($H$6:$AL$6&lt;&gt;"RH"),H30:AL30)+SUMPRODUCT(($H$5:$AL$5="Wed")*($H$6:$AL$6&lt;&gt;"PH")*($H$6:$AL$6&lt;&gt;"RH"),H30:AL30)+SUMPRODUCT(($H$5:$AL$5="Thu")*($H$6:$AL$6&lt;&gt;"PH")*($H$6:$AL$6&lt;&gt;"RH"),H30:AL30)+SUMPRODUCT(($H$5:$AL$5="Fri")*($H$6:$AL$6&lt;&gt;"PH")*($H$6:$AL$6&lt;&gt;"RH"),H30:AL30)))/2</f>
        <v>#VALUE!</v>
      </c>
      <c r="AR29" s="156" t="e">
        <f>((SUMPRODUCT(($H$5:$AL$5="Sat")*($H$6:$AL$6&lt;&gt;"PH"),H29:AL29)+SUMPRODUCT(($H$5:$AL$5="Sun")*($H$6:$AL$6&lt;&gt;"PH"),H29:AL29)+((SUMPRODUCT(($H$5:$AL$5="Mon")*($H$6:$AL$6="RH"),H29:AL29)+((SUMPRODUCT(($H$5:$AL$5="Tue")*($H$6:$AL$6="RH"),H29:AL29)+((SUMPRODUCT(($H$5:$AL$5="Wed")*($H$6:$AL$6="RH"),H29:AL29)+((SUMPRODUCT(($H$5:$AL$5="Thu")*($H$6:$AL$6="RH"),H29:AL29)+((SUMPRODUCT(($H$5:$AL$5="Fri")*($H$6:$AL$6="RH"),H29:AL29)+(SUMPRODUCT(($H$5:$AL$5="Sat")*($H$6:$AL$6&lt;&gt;"PH"),H30:AL30)+SUMPRODUCT(($H$5:$AL$5="Sun")*($H$6:$AL$6&lt;&gt;"PH"),H30:AL30)+((SUMPRODUCT(($H$5:$AL$5="Mon")*($H$6:$AL$6="RH"),H30:AL30)+((SUMPRODUCT(($H$5:$AL$5="Tue")*($H$6:$AL$6="RH"),H30:AL30)+((SUMPRODUCT(($H$5:$AL$5="Wed")*($H$6:$AL$6="RH"),H30:AL30)+((SUMPRODUCT(($H$5:$AL$5="Thu")*($H$6:$AL$6="RH"),H30:AL30)+((SUMPRODUCT(($H$5:$AL$5="Fri")*($H$6:$AL$6="RH"),H30:AL30))))))))))))))))))))))))/2</f>
        <v>#VALUE!</v>
      </c>
      <c r="AS29" s="158">
        <f t="shared" ref="AS29" si="58">(SUMIF($H$6:$AL$6,"PH",H29:AL29)+SUMIF($H$6:$AL$6,"PH",H30:AL30))/2</f>
        <v>0</v>
      </c>
      <c r="AT29" s="154">
        <f t="shared" ref="AT29" si="59">ROUND(D29/8*AM29*1.5,2)</f>
        <v>0</v>
      </c>
      <c r="AU29" s="156">
        <f t="shared" ref="AU29" si="60">ROUND(D29/8*AN29*2,2)</f>
        <v>0</v>
      </c>
      <c r="AV29" s="160">
        <f t="shared" ref="AV29" si="61">ROUND(D29/8*AO29*3,2)</f>
        <v>0</v>
      </c>
      <c r="AW29" s="162" t="e">
        <f t="shared" ref="AW29" si="62">(D29*(AQ29+2*AR29+3*AS29))+AT29+AU29+AV29+AP29</f>
        <v>#VALUE!</v>
      </c>
    </row>
    <row r="30" spans="1:50" ht="15" thickBot="1">
      <c r="A30" s="165"/>
      <c r="B30" s="167"/>
      <c r="C30" s="167"/>
      <c r="D30" s="167"/>
      <c r="E30" s="167"/>
      <c r="F30" s="169"/>
      <c r="G30" s="27" t="s">
        <v>91</v>
      </c>
      <c r="H30" s="4"/>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6"/>
      <c r="AM30" s="171"/>
      <c r="AN30" s="173"/>
      <c r="AO30" s="175"/>
      <c r="AP30" s="153"/>
      <c r="AQ30" s="155"/>
      <c r="AR30" s="157"/>
      <c r="AS30" s="159"/>
      <c r="AT30" s="155"/>
      <c r="AU30" s="157"/>
      <c r="AV30" s="161"/>
      <c r="AW30" s="163"/>
    </row>
    <row r="31" spans="1:50">
      <c r="A31" s="164">
        <v>12</v>
      </c>
      <c r="B31" s="166"/>
      <c r="C31" s="166"/>
      <c r="D31" s="166"/>
      <c r="E31" s="166"/>
      <c r="F31" s="168"/>
      <c r="G31" s="23" t="s">
        <v>90</v>
      </c>
      <c r="H31" s="1"/>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3"/>
      <c r="AM31" s="170"/>
      <c r="AN31" s="172"/>
      <c r="AO31" s="174"/>
      <c r="AP31" s="152"/>
      <c r="AQ31" s="154" t="e">
        <f t="shared" ref="AQ31" si="63">((SUMPRODUCT(($H$5:$AL$5="Mon")*($H$6:$AL$6&lt;&gt;"PH")*($H$6:$AL$6&lt;&gt;"RH"),H31:AL31)+SUMPRODUCT(($H$5:$AL$5="Tue")*($H$6:$AL$6&lt;&gt;"PH")*($H$6:$AL$6&lt;&gt;"RH"),H31:AL31)+SUMPRODUCT(($H$5:$AL$5="Wed")*($H$6:$AL$6&lt;&gt;"PH")*($H$6:$AL$6&lt;&gt;"RH"),H31:AL31)+SUMPRODUCT(($H$5:$AL$5="Thu")*($H$6:$AL$6&lt;&gt;"PH")*($H$6:$AL$6&lt;&gt;"RH"),H31:AL31)+SUMPRODUCT(($H$5:$AL$5="Fri")*($H$6:$AL$6&lt;&gt;"PH")*($H$6:$AL$6&lt;&gt;"RH"),H31:AL31))+(SUMPRODUCT(($H$5:$AL$5="Mon")*($H$6:$AL$6&lt;&gt;"PH")*($H$6:$AL$6&lt;&gt;"RH"),H32:AL32)+SUMPRODUCT(($H$5:$AL$5="Tue")*($H$6:$AL$6&lt;&gt;"PH")*($H$6:$AL$6&lt;&gt;"RH"),H32:AL32)+SUMPRODUCT(($H$5:$AL$5="Wed")*($H$6:$AL$6&lt;&gt;"PH")*($H$6:$AL$6&lt;&gt;"RH"),H32:AL32)+SUMPRODUCT(($H$5:$AL$5="Thu")*($H$6:$AL$6&lt;&gt;"PH")*($H$6:$AL$6&lt;&gt;"RH"),H32:AL32)+SUMPRODUCT(($H$5:$AL$5="Fri")*($H$6:$AL$6&lt;&gt;"PH")*($H$6:$AL$6&lt;&gt;"RH"),H32:AL32)))/2</f>
        <v>#VALUE!</v>
      </c>
      <c r="AR31" s="156" t="e">
        <f>((SUMPRODUCT(($H$5:$AL$5="Sat")*($H$6:$AL$6&lt;&gt;"PH"),H31:AL31)+SUMPRODUCT(($H$5:$AL$5="Sun")*($H$6:$AL$6&lt;&gt;"PH"),H31:AL31)+((SUMPRODUCT(($H$5:$AL$5="Mon")*($H$6:$AL$6="RH"),H31:AL31)+((SUMPRODUCT(($H$5:$AL$5="Tue")*($H$6:$AL$6="RH"),H31:AL31)+((SUMPRODUCT(($H$5:$AL$5="Wed")*($H$6:$AL$6="RH"),H31:AL31)+((SUMPRODUCT(($H$5:$AL$5="Thu")*($H$6:$AL$6="RH"),H31:AL31)+((SUMPRODUCT(($H$5:$AL$5="Fri")*($H$6:$AL$6="RH"),H31:AL31)+(SUMPRODUCT(($H$5:$AL$5="Sat")*($H$6:$AL$6&lt;&gt;"PH"),H32:AL32)+SUMPRODUCT(($H$5:$AL$5="Sun")*($H$6:$AL$6&lt;&gt;"PH"),H32:AL32)+((SUMPRODUCT(($H$5:$AL$5="Mon")*($H$6:$AL$6="RH"),H32:AL32)+((SUMPRODUCT(($H$5:$AL$5="Tue")*($H$6:$AL$6="RH"),H32:AL32)+((SUMPRODUCT(($H$5:$AL$5="Wed")*($H$6:$AL$6="RH"),H32:AL32)+((SUMPRODUCT(($H$5:$AL$5="Thu")*($H$6:$AL$6="RH"),H32:AL32)+((SUMPRODUCT(($H$5:$AL$5="Fri")*($H$6:$AL$6="RH"),H32:AL32))))))))))))))))))))))))/2</f>
        <v>#VALUE!</v>
      </c>
      <c r="AS31" s="158">
        <f t="shared" ref="AS31" si="64">(SUMIF($H$6:$AL$6,"PH",H31:AL31)+SUMIF($H$6:$AL$6,"PH",H32:AL32))/2</f>
        <v>0</v>
      </c>
      <c r="AT31" s="154">
        <f t="shared" ref="AT31" si="65">ROUND(D31/8*AM31*1.5,2)</f>
        <v>0</v>
      </c>
      <c r="AU31" s="156">
        <f t="shared" ref="AU31" si="66">ROUND(D31/8*AN31*2,2)</f>
        <v>0</v>
      </c>
      <c r="AV31" s="160">
        <f t="shared" ref="AV31" si="67">ROUND(D31/8*AO31*3,2)</f>
        <v>0</v>
      </c>
      <c r="AW31" s="162" t="e">
        <f t="shared" ref="AW31" si="68">(D31*(AQ31+2*AR31+3*AS31))+AT31+AU31+AV31+AP31</f>
        <v>#VALUE!</v>
      </c>
    </row>
    <row r="32" spans="1:50" ht="15" thickBot="1">
      <c r="A32" s="165"/>
      <c r="B32" s="167"/>
      <c r="C32" s="167"/>
      <c r="D32" s="167"/>
      <c r="E32" s="167"/>
      <c r="F32" s="169"/>
      <c r="G32" s="27" t="s">
        <v>91</v>
      </c>
      <c r="H32" s="4"/>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6"/>
      <c r="AM32" s="171"/>
      <c r="AN32" s="173"/>
      <c r="AO32" s="175"/>
      <c r="AP32" s="153"/>
      <c r="AQ32" s="155"/>
      <c r="AR32" s="157"/>
      <c r="AS32" s="159"/>
      <c r="AT32" s="155"/>
      <c r="AU32" s="157"/>
      <c r="AV32" s="161"/>
      <c r="AW32" s="163"/>
    </row>
    <row r="33" spans="1:49">
      <c r="A33" s="164">
        <v>13</v>
      </c>
      <c r="B33" s="166"/>
      <c r="C33" s="166"/>
      <c r="D33" s="166"/>
      <c r="E33" s="166"/>
      <c r="F33" s="168"/>
      <c r="G33" s="23" t="s">
        <v>90</v>
      </c>
      <c r="H33" s="1"/>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3"/>
      <c r="AM33" s="170"/>
      <c r="AN33" s="172"/>
      <c r="AO33" s="174"/>
      <c r="AP33" s="152"/>
      <c r="AQ33" s="154" t="e">
        <f t="shared" ref="AQ33" si="69">((SUMPRODUCT(($H$5:$AL$5="Mon")*($H$6:$AL$6&lt;&gt;"PH")*($H$6:$AL$6&lt;&gt;"RH"),H33:AL33)+SUMPRODUCT(($H$5:$AL$5="Tue")*($H$6:$AL$6&lt;&gt;"PH")*($H$6:$AL$6&lt;&gt;"RH"),H33:AL33)+SUMPRODUCT(($H$5:$AL$5="Wed")*($H$6:$AL$6&lt;&gt;"PH")*($H$6:$AL$6&lt;&gt;"RH"),H33:AL33)+SUMPRODUCT(($H$5:$AL$5="Thu")*($H$6:$AL$6&lt;&gt;"PH")*($H$6:$AL$6&lt;&gt;"RH"),H33:AL33)+SUMPRODUCT(($H$5:$AL$5="Fri")*($H$6:$AL$6&lt;&gt;"PH")*($H$6:$AL$6&lt;&gt;"RH"),H33:AL33))+(SUMPRODUCT(($H$5:$AL$5="Mon")*($H$6:$AL$6&lt;&gt;"PH")*($H$6:$AL$6&lt;&gt;"RH"),H34:AL34)+SUMPRODUCT(($H$5:$AL$5="Tue")*($H$6:$AL$6&lt;&gt;"PH")*($H$6:$AL$6&lt;&gt;"RH"),H34:AL34)+SUMPRODUCT(($H$5:$AL$5="Wed")*($H$6:$AL$6&lt;&gt;"PH")*($H$6:$AL$6&lt;&gt;"RH"),H34:AL34)+SUMPRODUCT(($H$5:$AL$5="Thu")*($H$6:$AL$6&lt;&gt;"PH")*($H$6:$AL$6&lt;&gt;"RH"),H34:AL34)+SUMPRODUCT(($H$5:$AL$5="Fri")*($H$6:$AL$6&lt;&gt;"PH")*($H$6:$AL$6&lt;&gt;"RH"),H34:AL34)))/2</f>
        <v>#VALUE!</v>
      </c>
      <c r="AR33" s="156" t="e">
        <f>((SUMPRODUCT(($H$5:$AL$5="Sat")*($H$6:$AL$6&lt;&gt;"PH"),H33:AL33)+SUMPRODUCT(($H$5:$AL$5="Sun")*($H$6:$AL$6&lt;&gt;"PH"),H33:AL33)+((SUMPRODUCT(($H$5:$AL$5="Mon")*($H$6:$AL$6="RH"),H33:AL33)+((SUMPRODUCT(($H$5:$AL$5="Tue")*($H$6:$AL$6="RH"),H33:AL33)+((SUMPRODUCT(($H$5:$AL$5="Wed")*($H$6:$AL$6="RH"),H33:AL33)+((SUMPRODUCT(($H$5:$AL$5="Thu")*($H$6:$AL$6="RH"),H33:AL33)+((SUMPRODUCT(($H$5:$AL$5="Fri")*($H$6:$AL$6="RH"),H33:AL33)+(SUMPRODUCT(($H$5:$AL$5="Sat")*($H$6:$AL$6&lt;&gt;"PH"),H34:AL34)+SUMPRODUCT(($H$5:$AL$5="Sun")*($H$6:$AL$6&lt;&gt;"PH"),H34:AL34)+((SUMPRODUCT(($H$5:$AL$5="Mon")*($H$6:$AL$6="RH"),H34:AL34)+((SUMPRODUCT(($H$5:$AL$5="Tue")*($H$6:$AL$6="RH"),H34:AL34)+((SUMPRODUCT(($H$5:$AL$5="Wed")*($H$6:$AL$6="RH"),H34:AL34)+((SUMPRODUCT(($H$5:$AL$5="Thu")*($H$6:$AL$6="RH"),H34:AL34)+((SUMPRODUCT(($H$5:$AL$5="Fri")*($H$6:$AL$6="RH"),H34:AL34))))))))))))))))))))))))/2</f>
        <v>#VALUE!</v>
      </c>
      <c r="AS33" s="158">
        <f t="shared" ref="AS33" si="70">(SUMIF($H$6:$AL$6,"PH",H33:AL33)+SUMIF($H$6:$AL$6,"PH",H34:AL34))/2</f>
        <v>0</v>
      </c>
      <c r="AT33" s="154">
        <f t="shared" ref="AT33" si="71">ROUND(D33/8*AM33*1.5,2)</f>
        <v>0</v>
      </c>
      <c r="AU33" s="156">
        <f t="shared" ref="AU33" si="72">ROUND(D33/8*AN33*2,2)</f>
        <v>0</v>
      </c>
      <c r="AV33" s="160">
        <f t="shared" ref="AV33" si="73">ROUND(D33/8*AO33*3,2)</f>
        <v>0</v>
      </c>
      <c r="AW33" s="162" t="e">
        <f t="shared" ref="AW33" si="74">(D33*(AQ33+2*AR33+3*AS33))+AT33+AU33+AV33+AP33</f>
        <v>#VALUE!</v>
      </c>
    </row>
    <row r="34" spans="1:49" ht="15" thickBot="1">
      <c r="A34" s="165"/>
      <c r="B34" s="167"/>
      <c r="C34" s="167"/>
      <c r="D34" s="167"/>
      <c r="E34" s="167"/>
      <c r="F34" s="169"/>
      <c r="G34" s="27" t="s">
        <v>91</v>
      </c>
      <c r="H34" s="4"/>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6"/>
      <c r="AM34" s="171"/>
      <c r="AN34" s="173"/>
      <c r="AO34" s="175"/>
      <c r="AP34" s="153"/>
      <c r="AQ34" s="155"/>
      <c r="AR34" s="157"/>
      <c r="AS34" s="159"/>
      <c r="AT34" s="155"/>
      <c r="AU34" s="157"/>
      <c r="AV34" s="161"/>
      <c r="AW34" s="163"/>
    </row>
    <row r="35" spans="1:49">
      <c r="A35" s="164">
        <v>14</v>
      </c>
      <c r="B35" s="166"/>
      <c r="C35" s="166"/>
      <c r="D35" s="166"/>
      <c r="E35" s="166"/>
      <c r="F35" s="168"/>
      <c r="G35" s="23" t="s">
        <v>90</v>
      </c>
      <c r="H35" s="1"/>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3"/>
      <c r="AM35" s="170"/>
      <c r="AN35" s="172"/>
      <c r="AO35" s="174"/>
      <c r="AP35" s="152"/>
      <c r="AQ35" s="154" t="e">
        <f t="shared" ref="AQ35" si="75">((SUMPRODUCT(($H$5:$AL$5="Mon")*($H$6:$AL$6&lt;&gt;"PH")*($H$6:$AL$6&lt;&gt;"RH"),H35:AL35)+SUMPRODUCT(($H$5:$AL$5="Tue")*($H$6:$AL$6&lt;&gt;"PH")*($H$6:$AL$6&lt;&gt;"RH"),H35:AL35)+SUMPRODUCT(($H$5:$AL$5="Wed")*($H$6:$AL$6&lt;&gt;"PH")*($H$6:$AL$6&lt;&gt;"RH"),H35:AL35)+SUMPRODUCT(($H$5:$AL$5="Thu")*($H$6:$AL$6&lt;&gt;"PH")*($H$6:$AL$6&lt;&gt;"RH"),H35:AL35)+SUMPRODUCT(($H$5:$AL$5="Fri")*($H$6:$AL$6&lt;&gt;"PH")*($H$6:$AL$6&lt;&gt;"RH"),H35:AL35))+(SUMPRODUCT(($H$5:$AL$5="Mon")*($H$6:$AL$6&lt;&gt;"PH")*($H$6:$AL$6&lt;&gt;"RH"),H36:AL36)+SUMPRODUCT(($H$5:$AL$5="Tue")*($H$6:$AL$6&lt;&gt;"PH")*($H$6:$AL$6&lt;&gt;"RH"),H36:AL36)+SUMPRODUCT(($H$5:$AL$5="Wed")*($H$6:$AL$6&lt;&gt;"PH")*($H$6:$AL$6&lt;&gt;"RH"),H36:AL36)+SUMPRODUCT(($H$5:$AL$5="Thu")*($H$6:$AL$6&lt;&gt;"PH")*($H$6:$AL$6&lt;&gt;"RH"),H36:AL36)+SUMPRODUCT(($H$5:$AL$5="Fri")*($H$6:$AL$6&lt;&gt;"PH")*($H$6:$AL$6&lt;&gt;"RH"),H36:AL36)))/2</f>
        <v>#VALUE!</v>
      </c>
      <c r="AR35" s="156" t="e">
        <f>((SUMPRODUCT(($H$5:$AL$5="Sat")*($H$6:$AL$6&lt;&gt;"PH"),H35:AL35)+SUMPRODUCT(($H$5:$AL$5="Sun")*($H$6:$AL$6&lt;&gt;"PH"),H35:AL35)+((SUMPRODUCT(($H$5:$AL$5="Mon")*($H$6:$AL$6="RH"),H35:AL35)+((SUMPRODUCT(($H$5:$AL$5="Tue")*($H$6:$AL$6="RH"),H35:AL35)+((SUMPRODUCT(($H$5:$AL$5="Wed")*($H$6:$AL$6="RH"),H35:AL35)+((SUMPRODUCT(($H$5:$AL$5="Thu")*($H$6:$AL$6="RH"),H35:AL35)+((SUMPRODUCT(($H$5:$AL$5="Fri")*($H$6:$AL$6="RH"),H35:AL35)+(SUMPRODUCT(($H$5:$AL$5="Sat")*($H$6:$AL$6&lt;&gt;"PH"),H36:AL36)+SUMPRODUCT(($H$5:$AL$5="Sun")*($H$6:$AL$6&lt;&gt;"PH"),H36:AL36)+((SUMPRODUCT(($H$5:$AL$5="Mon")*($H$6:$AL$6="RH"),H36:AL36)+((SUMPRODUCT(($H$5:$AL$5="Tue")*($H$6:$AL$6="RH"),H36:AL36)+((SUMPRODUCT(($H$5:$AL$5="Wed")*($H$6:$AL$6="RH"),H36:AL36)+((SUMPRODUCT(($H$5:$AL$5="Thu")*($H$6:$AL$6="RH"),H36:AL36)+((SUMPRODUCT(($H$5:$AL$5="Fri")*($H$6:$AL$6="RH"),H36:AL36))))))))))))))))))))))))/2</f>
        <v>#VALUE!</v>
      </c>
      <c r="AS35" s="158">
        <f t="shared" ref="AS35" si="76">(SUMIF($H$6:$AL$6,"PH",H35:AL35)+SUMIF($H$6:$AL$6,"PH",H36:AL36))/2</f>
        <v>0</v>
      </c>
      <c r="AT35" s="154">
        <f t="shared" ref="AT35" si="77">ROUND(D35/8*AM35*1.5,2)</f>
        <v>0</v>
      </c>
      <c r="AU35" s="156">
        <f t="shared" ref="AU35" si="78">ROUND(D35/8*AN35*2,2)</f>
        <v>0</v>
      </c>
      <c r="AV35" s="160">
        <f t="shared" ref="AV35" si="79">ROUND(D35/8*AO35*3,2)</f>
        <v>0</v>
      </c>
      <c r="AW35" s="162" t="e">
        <f t="shared" ref="AW35" si="80">(D35*(AQ35+2*AR35+3*AS35))+AT35+AU35+AV35+AP35</f>
        <v>#VALUE!</v>
      </c>
    </row>
    <row r="36" spans="1:49" ht="15" thickBot="1">
      <c r="A36" s="165"/>
      <c r="B36" s="167"/>
      <c r="C36" s="167"/>
      <c r="D36" s="167"/>
      <c r="E36" s="167"/>
      <c r="F36" s="169"/>
      <c r="G36" s="27" t="s">
        <v>91</v>
      </c>
      <c r="H36" s="4"/>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6"/>
      <c r="AM36" s="171"/>
      <c r="AN36" s="173"/>
      <c r="AO36" s="175"/>
      <c r="AP36" s="153"/>
      <c r="AQ36" s="155"/>
      <c r="AR36" s="157"/>
      <c r="AS36" s="159"/>
      <c r="AT36" s="155"/>
      <c r="AU36" s="157"/>
      <c r="AV36" s="161"/>
      <c r="AW36" s="163"/>
    </row>
    <row r="37" spans="1:49">
      <c r="A37" s="164">
        <v>15</v>
      </c>
      <c r="B37" s="166"/>
      <c r="C37" s="166"/>
      <c r="D37" s="166"/>
      <c r="E37" s="166"/>
      <c r="F37" s="168"/>
      <c r="G37" s="23" t="s">
        <v>90</v>
      </c>
      <c r="H37" s="1"/>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3"/>
      <c r="AM37" s="170"/>
      <c r="AN37" s="172"/>
      <c r="AO37" s="174"/>
      <c r="AP37" s="152"/>
      <c r="AQ37" s="154" t="e">
        <f t="shared" ref="AQ37" si="81">((SUMPRODUCT(($H$5:$AL$5="Mon")*($H$6:$AL$6&lt;&gt;"PH")*($H$6:$AL$6&lt;&gt;"RH"),H37:AL37)+SUMPRODUCT(($H$5:$AL$5="Tue")*($H$6:$AL$6&lt;&gt;"PH")*($H$6:$AL$6&lt;&gt;"RH"),H37:AL37)+SUMPRODUCT(($H$5:$AL$5="Wed")*($H$6:$AL$6&lt;&gt;"PH")*($H$6:$AL$6&lt;&gt;"RH"),H37:AL37)+SUMPRODUCT(($H$5:$AL$5="Thu")*($H$6:$AL$6&lt;&gt;"PH")*($H$6:$AL$6&lt;&gt;"RH"),H37:AL37)+SUMPRODUCT(($H$5:$AL$5="Fri")*($H$6:$AL$6&lt;&gt;"PH")*($H$6:$AL$6&lt;&gt;"RH"),H37:AL37))+(SUMPRODUCT(($H$5:$AL$5="Mon")*($H$6:$AL$6&lt;&gt;"PH")*($H$6:$AL$6&lt;&gt;"RH"),H38:AL38)+SUMPRODUCT(($H$5:$AL$5="Tue")*($H$6:$AL$6&lt;&gt;"PH")*($H$6:$AL$6&lt;&gt;"RH"),H38:AL38)+SUMPRODUCT(($H$5:$AL$5="Wed")*($H$6:$AL$6&lt;&gt;"PH")*($H$6:$AL$6&lt;&gt;"RH"),H38:AL38)+SUMPRODUCT(($H$5:$AL$5="Thu")*($H$6:$AL$6&lt;&gt;"PH")*($H$6:$AL$6&lt;&gt;"RH"),H38:AL38)+SUMPRODUCT(($H$5:$AL$5="Fri")*($H$6:$AL$6&lt;&gt;"PH")*($H$6:$AL$6&lt;&gt;"RH"),H38:AL38)))/2</f>
        <v>#VALUE!</v>
      </c>
      <c r="AR37" s="156" t="e">
        <f>((SUMPRODUCT(($H$5:$AL$5="Sat")*($H$6:$AL$6&lt;&gt;"PH"),H37:AL37)+SUMPRODUCT(($H$5:$AL$5="Sun")*($H$6:$AL$6&lt;&gt;"PH"),H37:AL37)+((SUMPRODUCT(($H$5:$AL$5="Mon")*($H$6:$AL$6="RH"),H37:AL37)+((SUMPRODUCT(($H$5:$AL$5="Tue")*($H$6:$AL$6="RH"),H37:AL37)+((SUMPRODUCT(($H$5:$AL$5="Wed")*($H$6:$AL$6="RH"),H37:AL37)+((SUMPRODUCT(($H$5:$AL$5="Thu")*($H$6:$AL$6="RH"),H37:AL37)+((SUMPRODUCT(($H$5:$AL$5="Fri")*($H$6:$AL$6="RH"),H37:AL37)+(SUMPRODUCT(($H$5:$AL$5="Sat")*($H$6:$AL$6&lt;&gt;"PH"),H38:AL38)+SUMPRODUCT(($H$5:$AL$5="Sun")*($H$6:$AL$6&lt;&gt;"PH"),H38:AL38)+((SUMPRODUCT(($H$5:$AL$5="Mon")*($H$6:$AL$6="RH"),H38:AL38)+((SUMPRODUCT(($H$5:$AL$5="Tue")*($H$6:$AL$6="RH"),H38:AL38)+((SUMPRODUCT(($H$5:$AL$5="Wed")*($H$6:$AL$6="RH"),H38:AL38)+((SUMPRODUCT(($H$5:$AL$5="Thu")*($H$6:$AL$6="RH"),H38:AL38)+((SUMPRODUCT(($H$5:$AL$5="Fri")*($H$6:$AL$6="RH"),H38:AL38))))))))))))))))))))))))/2</f>
        <v>#VALUE!</v>
      </c>
      <c r="AS37" s="158">
        <f t="shared" ref="AS37" si="82">(SUMIF($H$6:$AL$6,"PH",H37:AL37)+SUMIF($H$6:$AL$6,"PH",H38:AL38))/2</f>
        <v>0</v>
      </c>
      <c r="AT37" s="154">
        <f t="shared" ref="AT37" si="83">ROUND(D37/8*AM37*1.5,2)</f>
        <v>0</v>
      </c>
      <c r="AU37" s="156">
        <f t="shared" ref="AU37" si="84">ROUND(D37/8*AN37*2,2)</f>
        <v>0</v>
      </c>
      <c r="AV37" s="160">
        <f t="shared" ref="AV37" si="85">ROUND(D37/8*AO37*3,2)</f>
        <v>0</v>
      </c>
      <c r="AW37" s="162" t="e">
        <f t="shared" ref="AW37" si="86">(D37*(AQ37+2*AR37+3*AS37))+AT37+AU37+AV37+AP37</f>
        <v>#VALUE!</v>
      </c>
    </row>
    <row r="38" spans="1:49" ht="15" thickBot="1">
      <c r="A38" s="165"/>
      <c r="B38" s="167"/>
      <c r="C38" s="167"/>
      <c r="D38" s="167"/>
      <c r="E38" s="167"/>
      <c r="F38" s="169"/>
      <c r="G38" s="27" t="s">
        <v>91</v>
      </c>
      <c r="H38" s="4"/>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6"/>
      <c r="AM38" s="171"/>
      <c r="AN38" s="173"/>
      <c r="AO38" s="175"/>
      <c r="AP38" s="153"/>
      <c r="AQ38" s="155"/>
      <c r="AR38" s="157"/>
      <c r="AS38" s="159"/>
      <c r="AT38" s="155"/>
      <c r="AU38" s="157"/>
      <c r="AV38" s="161"/>
      <c r="AW38" s="163"/>
    </row>
    <row r="39" spans="1:49">
      <c r="A39" s="164">
        <v>16</v>
      </c>
      <c r="B39" s="166"/>
      <c r="C39" s="166"/>
      <c r="D39" s="166"/>
      <c r="E39" s="166"/>
      <c r="F39" s="168"/>
      <c r="G39" s="23" t="s">
        <v>90</v>
      </c>
      <c r="H39" s="1"/>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3"/>
      <c r="AM39" s="170"/>
      <c r="AN39" s="172"/>
      <c r="AO39" s="174"/>
      <c r="AP39" s="152"/>
      <c r="AQ39" s="154" t="e">
        <f t="shared" ref="AQ39" si="87">((SUMPRODUCT(($H$5:$AL$5="Mon")*($H$6:$AL$6&lt;&gt;"PH")*($H$6:$AL$6&lt;&gt;"RH"),H39:AL39)+SUMPRODUCT(($H$5:$AL$5="Tue")*($H$6:$AL$6&lt;&gt;"PH")*($H$6:$AL$6&lt;&gt;"RH"),H39:AL39)+SUMPRODUCT(($H$5:$AL$5="Wed")*($H$6:$AL$6&lt;&gt;"PH")*($H$6:$AL$6&lt;&gt;"RH"),H39:AL39)+SUMPRODUCT(($H$5:$AL$5="Thu")*($H$6:$AL$6&lt;&gt;"PH")*($H$6:$AL$6&lt;&gt;"RH"),H39:AL39)+SUMPRODUCT(($H$5:$AL$5="Fri")*($H$6:$AL$6&lt;&gt;"PH")*($H$6:$AL$6&lt;&gt;"RH"),H39:AL39))+(SUMPRODUCT(($H$5:$AL$5="Mon")*($H$6:$AL$6&lt;&gt;"PH")*($H$6:$AL$6&lt;&gt;"RH"),H40:AL40)+SUMPRODUCT(($H$5:$AL$5="Tue")*($H$6:$AL$6&lt;&gt;"PH")*($H$6:$AL$6&lt;&gt;"RH"),H40:AL40)+SUMPRODUCT(($H$5:$AL$5="Wed")*($H$6:$AL$6&lt;&gt;"PH")*($H$6:$AL$6&lt;&gt;"RH"),H40:AL40)+SUMPRODUCT(($H$5:$AL$5="Thu")*($H$6:$AL$6&lt;&gt;"PH")*($H$6:$AL$6&lt;&gt;"RH"),H40:AL40)+SUMPRODUCT(($H$5:$AL$5="Fri")*($H$6:$AL$6&lt;&gt;"PH")*($H$6:$AL$6&lt;&gt;"RH"),H40:AL40)))/2</f>
        <v>#VALUE!</v>
      </c>
      <c r="AR39" s="156" t="e">
        <f>((SUMPRODUCT(($H$5:$AL$5="Sat")*($H$6:$AL$6&lt;&gt;"PH"),H39:AL39)+SUMPRODUCT(($H$5:$AL$5="Sun")*($H$6:$AL$6&lt;&gt;"PH"),H39:AL39)+((SUMPRODUCT(($H$5:$AL$5="Mon")*($H$6:$AL$6="RH"),H39:AL39)+((SUMPRODUCT(($H$5:$AL$5="Tue")*($H$6:$AL$6="RH"),H39:AL39)+((SUMPRODUCT(($H$5:$AL$5="Wed")*($H$6:$AL$6="RH"),H39:AL39)+((SUMPRODUCT(($H$5:$AL$5="Thu")*($H$6:$AL$6="RH"),H39:AL39)+((SUMPRODUCT(($H$5:$AL$5="Fri")*($H$6:$AL$6="RH"),H39:AL39)+(SUMPRODUCT(($H$5:$AL$5="Sat")*($H$6:$AL$6&lt;&gt;"PH"),H40:AL40)+SUMPRODUCT(($H$5:$AL$5="Sun")*($H$6:$AL$6&lt;&gt;"PH"),H40:AL40)+((SUMPRODUCT(($H$5:$AL$5="Mon")*($H$6:$AL$6="RH"),H40:AL40)+((SUMPRODUCT(($H$5:$AL$5="Tue")*($H$6:$AL$6="RH"),H40:AL40)+((SUMPRODUCT(($H$5:$AL$5="Wed")*($H$6:$AL$6="RH"),H40:AL40)+((SUMPRODUCT(($H$5:$AL$5="Thu")*($H$6:$AL$6="RH"),H40:AL40)+((SUMPRODUCT(($H$5:$AL$5="Fri")*($H$6:$AL$6="RH"),H40:AL40))))))))))))))))))))))))/2</f>
        <v>#VALUE!</v>
      </c>
      <c r="AS39" s="158">
        <f t="shared" ref="AS39" si="88">(SUMIF($H$6:$AL$6,"PH",H39:AL39)+SUMIF($H$6:$AL$6,"PH",H40:AL40))/2</f>
        <v>0</v>
      </c>
      <c r="AT39" s="154">
        <f t="shared" ref="AT39" si="89">ROUND(D39/8*AM39*1.5,2)</f>
        <v>0</v>
      </c>
      <c r="AU39" s="156">
        <f t="shared" ref="AU39" si="90">ROUND(D39/8*AN39*2,2)</f>
        <v>0</v>
      </c>
      <c r="AV39" s="160">
        <f t="shared" ref="AV39" si="91">ROUND(D39/8*AO39*3,2)</f>
        <v>0</v>
      </c>
      <c r="AW39" s="162" t="e">
        <f t="shared" ref="AW39" si="92">(D39*(AQ39+2*AR39+3*AS39))+AT39+AU39+AV39+AP39</f>
        <v>#VALUE!</v>
      </c>
    </row>
    <row r="40" spans="1:49" ht="15" thickBot="1">
      <c r="A40" s="165"/>
      <c r="B40" s="167"/>
      <c r="C40" s="167"/>
      <c r="D40" s="167"/>
      <c r="E40" s="167"/>
      <c r="F40" s="169"/>
      <c r="G40" s="27" t="s">
        <v>91</v>
      </c>
      <c r="H40" s="4"/>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6"/>
      <c r="AM40" s="171"/>
      <c r="AN40" s="173"/>
      <c r="AO40" s="175"/>
      <c r="AP40" s="153"/>
      <c r="AQ40" s="155"/>
      <c r="AR40" s="157"/>
      <c r="AS40" s="159"/>
      <c r="AT40" s="155"/>
      <c r="AU40" s="157"/>
      <c r="AV40" s="161"/>
      <c r="AW40" s="163"/>
    </row>
    <row r="41" spans="1:49">
      <c r="A41" s="164">
        <v>17</v>
      </c>
      <c r="B41" s="166"/>
      <c r="C41" s="166"/>
      <c r="D41" s="166"/>
      <c r="E41" s="166"/>
      <c r="F41" s="168"/>
      <c r="G41" s="23" t="s">
        <v>90</v>
      </c>
      <c r="H41" s="1"/>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3"/>
      <c r="AM41" s="170"/>
      <c r="AN41" s="172"/>
      <c r="AO41" s="174"/>
      <c r="AP41" s="152"/>
      <c r="AQ41" s="154" t="e">
        <f t="shared" ref="AQ41" si="93">((SUMPRODUCT(($H$5:$AL$5="Mon")*($H$6:$AL$6&lt;&gt;"PH")*($H$6:$AL$6&lt;&gt;"RH"),H41:AL41)+SUMPRODUCT(($H$5:$AL$5="Tue")*($H$6:$AL$6&lt;&gt;"PH")*($H$6:$AL$6&lt;&gt;"RH"),H41:AL41)+SUMPRODUCT(($H$5:$AL$5="Wed")*($H$6:$AL$6&lt;&gt;"PH")*($H$6:$AL$6&lt;&gt;"RH"),H41:AL41)+SUMPRODUCT(($H$5:$AL$5="Thu")*($H$6:$AL$6&lt;&gt;"PH")*($H$6:$AL$6&lt;&gt;"RH"),H41:AL41)+SUMPRODUCT(($H$5:$AL$5="Fri")*($H$6:$AL$6&lt;&gt;"PH")*($H$6:$AL$6&lt;&gt;"RH"),H41:AL41))+(SUMPRODUCT(($H$5:$AL$5="Mon")*($H$6:$AL$6&lt;&gt;"PH")*($H$6:$AL$6&lt;&gt;"RH"),H42:AL42)+SUMPRODUCT(($H$5:$AL$5="Tue")*($H$6:$AL$6&lt;&gt;"PH")*($H$6:$AL$6&lt;&gt;"RH"),H42:AL42)+SUMPRODUCT(($H$5:$AL$5="Wed")*($H$6:$AL$6&lt;&gt;"PH")*($H$6:$AL$6&lt;&gt;"RH"),H42:AL42)+SUMPRODUCT(($H$5:$AL$5="Thu")*($H$6:$AL$6&lt;&gt;"PH")*($H$6:$AL$6&lt;&gt;"RH"),H42:AL42)+SUMPRODUCT(($H$5:$AL$5="Fri")*($H$6:$AL$6&lt;&gt;"PH")*($H$6:$AL$6&lt;&gt;"RH"),H42:AL42)))/2</f>
        <v>#VALUE!</v>
      </c>
      <c r="AR41" s="156" t="e">
        <f>((SUMPRODUCT(($H$5:$AL$5="Sat")*($H$6:$AL$6&lt;&gt;"PH"),H41:AL41)+SUMPRODUCT(($H$5:$AL$5="Sun")*($H$6:$AL$6&lt;&gt;"PH"),H41:AL41)+((SUMPRODUCT(($H$5:$AL$5="Mon")*($H$6:$AL$6="RH"),H41:AL41)+((SUMPRODUCT(($H$5:$AL$5="Tue")*($H$6:$AL$6="RH"),H41:AL41)+((SUMPRODUCT(($H$5:$AL$5="Wed")*($H$6:$AL$6="RH"),H41:AL41)+((SUMPRODUCT(($H$5:$AL$5="Thu")*($H$6:$AL$6="RH"),H41:AL41)+((SUMPRODUCT(($H$5:$AL$5="Fri")*($H$6:$AL$6="RH"),H41:AL41)+(SUMPRODUCT(($H$5:$AL$5="Sat")*($H$6:$AL$6&lt;&gt;"PH"),H42:AL42)+SUMPRODUCT(($H$5:$AL$5="Sun")*($H$6:$AL$6&lt;&gt;"PH"),H42:AL42)+((SUMPRODUCT(($H$5:$AL$5="Mon")*($H$6:$AL$6="RH"),H42:AL42)+((SUMPRODUCT(($H$5:$AL$5="Tue")*($H$6:$AL$6="RH"),H42:AL42)+((SUMPRODUCT(($H$5:$AL$5="Wed")*($H$6:$AL$6="RH"),H42:AL42)+((SUMPRODUCT(($H$5:$AL$5="Thu")*($H$6:$AL$6="RH"),H42:AL42)+((SUMPRODUCT(($H$5:$AL$5="Fri")*($H$6:$AL$6="RH"),H42:AL42))))))))))))))))))))))))/2</f>
        <v>#VALUE!</v>
      </c>
      <c r="AS41" s="158">
        <f t="shared" ref="AS41" si="94">(SUMIF($H$6:$AL$6,"PH",H41:AL41)+SUMIF($H$6:$AL$6,"PH",H42:AL42))/2</f>
        <v>0</v>
      </c>
      <c r="AT41" s="154">
        <f t="shared" ref="AT41" si="95">ROUND(D41/8*AM41*1.5,2)</f>
        <v>0</v>
      </c>
      <c r="AU41" s="156">
        <f t="shared" ref="AU41" si="96">ROUND(D41/8*AN41*2,2)</f>
        <v>0</v>
      </c>
      <c r="AV41" s="160">
        <f t="shared" ref="AV41" si="97">ROUND(D41/8*AO41*3,2)</f>
        <v>0</v>
      </c>
      <c r="AW41" s="162" t="e">
        <f t="shared" ref="AW41" si="98">(D41*(AQ41+2*AR41+3*AS41))+AT41+AU41+AV41+AP41</f>
        <v>#VALUE!</v>
      </c>
    </row>
    <row r="42" spans="1:49" ht="15" thickBot="1">
      <c r="A42" s="165"/>
      <c r="B42" s="167"/>
      <c r="C42" s="167"/>
      <c r="D42" s="167"/>
      <c r="E42" s="167"/>
      <c r="F42" s="169"/>
      <c r="G42" s="27" t="s">
        <v>91</v>
      </c>
      <c r="H42" s="4"/>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6"/>
      <c r="AM42" s="171"/>
      <c r="AN42" s="173"/>
      <c r="AO42" s="175"/>
      <c r="AP42" s="153"/>
      <c r="AQ42" s="155"/>
      <c r="AR42" s="157"/>
      <c r="AS42" s="159"/>
      <c r="AT42" s="155"/>
      <c r="AU42" s="157"/>
      <c r="AV42" s="161"/>
      <c r="AW42" s="163"/>
    </row>
    <row r="43" spans="1:49">
      <c r="A43" s="164">
        <v>18</v>
      </c>
      <c r="B43" s="166"/>
      <c r="C43" s="166"/>
      <c r="D43" s="166"/>
      <c r="E43" s="166"/>
      <c r="F43" s="168"/>
      <c r="G43" s="23" t="s">
        <v>90</v>
      </c>
      <c r="H43" s="1"/>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3"/>
      <c r="AM43" s="170"/>
      <c r="AN43" s="172"/>
      <c r="AO43" s="174"/>
      <c r="AP43" s="152"/>
      <c r="AQ43" s="154" t="e">
        <f t="shared" ref="AQ43" si="99">((SUMPRODUCT(($H$5:$AL$5="Mon")*($H$6:$AL$6&lt;&gt;"PH")*($H$6:$AL$6&lt;&gt;"RH"),H43:AL43)+SUMPRODUCT(($H$5:$AL$5="Tue")*($H$6:$AL$6&lt;&gt;"PH")*($H$6:$AL$6&lt;&gt;"RH"),H43:AL43)+SUMPRODUCT(($H$5:$AL$5="Wed")*($H$6:$AL$6&lt;&gt;"PH")*($H$6:$AL$6&lt;&gt;"RH"),H43:AL43)+SUMPRODUCT(($H$5:$AL$5="Thu")*($H$6:$AL$6&lt;&gt;"PH")*($H$6:$AL$6&lt;&gt;"RH"),H43:AL43)+SUMPRODUCT(($H$5:$AL$5="Fri")*($H$6:$AL$6&lt;&gt;"PH")*($H$6:$AL$6&lt;&gt;"RH"),H43:AL43))+(SUMPRODUCT(($H$5:$AL$5="Mon")*($H$6:$AL$6&lt;&gt;"PH")*($H$6:$AL$6&lt;&gt;"RH"),H44:AL44)+SUMPRODUCT(($H$5:$AL$5="Tue")*($H$6:$AL$6&lt;&gt;"PH")*($H$6:$AL$6&lt;&gt;"RH"),H44:AL44)+SUMPRODUCT(($H$5:$AL$5="Wed")*($H$6:$AL$6&lt;&gt;"PH")*($H$6:$AL$6&lt;&gt;"RH"),H44:AL44)+SUMPRODUCT(($H$5:$AL$5="Thu")*($H$6:$AL$6&lt;&gt;"PH")*($H$6:$AL$6&lt;&gt;"RH"),H44:AL44)+SUMPRODUCT(($H$5:$AL$5="Fri")*($H$6:$AL$6&lt;&gt;"PH")*($H$6:$AL$6&lt;&gt;"RH"),H44:AL44)))/2</f>
        <v>#VALUE!</v>
      </c>
      <c r="AR43" s="156" t="e">
        <f>((SUMPRODUCT(($H$5:$AL$5="Sat")*($H$6:$AL$6&lt;&gt;"PH"),H43:AL43)+SUMPRODUCT(($H$5:$AL$5="Sun")*($H$6:$AL$6&lt;&gt;"PH"),H43:AL43)+((SUMPRODUCT(($H$5:$AL$5="Mon")*($H$6:$AL$6="RH"),H43:AL43)+((SUMPRODUCT(($H$5:$AL$5="Tue")*($H$6:$AL$6="RH"),H43:AL43)+((SUMPRODUCT(($H$5:$AL$5="Wed")*($H$6:$AL$6="RH"),H43:AL43)+((SUMPRODUCT(($H$5:$AL$5="Thu")*($H$6:$AL$6="RH"),H43:AL43)+((SUMPRODUCT(($H$5:$AL$5="Fri")*($H$6:$AL$6="RH"),H43:AL43)+(SUMPRODUCT(($H$5:$AL$5="Sat")*($H$6:$AL$6&lt;&gt;"PH"),H44:AL44)+SUMPRODUCT(($H$5:$AL$5="Sun")*($H$6:$AL$6&lt;&gt;"PH"),H44:AL44)+((SUMPRODUCT(($H$5:$AL$5="Mon")*($H$6:$AL$6="RH"),H44:AL44)+((SUMPRODUCT(($H$5:$AL$5="Tue")*($H$6:$AL$6="RH"),H44:AL44)+((SUMPRODUCT(($H$5:$AL$5="Wed")*($H$6:$AL$6="RH"),H44:AL44)+((SUMPRODUCT(($H$5:$AL$5="Thu")*($H$6:$AL$6="RH"),H44:AL44)+((SUMPRODUCT(($H$5:$AL$5="Fri")*($H$6:$AL$6="RH"),H44:AL44))))))))))))))))))))))))/2</f>
        <v>#VALUE!</v>
      </c>
      <c r="AS43" s="158">
        <f t="shared" ref="AS43" si="100">(SUMIF($H$6:$AL$6,"PH",H43:AL43)+SUMIF($H$6:$AL$6,"PH",H44:AL44))/2</f>
        <v>0</v>
      </c>
      <c r="AT43" s="154">
        <f t="shared" ref="AT43" si="101">ROUND(D43/8*AM43*1.5,2)</f>
        <v>0</v>
      </c>
      <c r="AU43" s="156">
        <f t="shared" ref="AU43" si="102">ROUND(D43/8*AN43*2,2)</f>
        <v>0</v>
      </c>
      <c r="AV43" s="160">
        <f t="shared" ref="AV43" si="103">ROUND(D43/8*AO43*3,2)</f>
        <v>0</v>
      </c>
      <c r="AW43" s="162" t="e">
        <f t="shared" ref="AW43" si="104">(D43*(AQ43+2*AR43+3*AS43))+AT43+AU43+AV43+AP43</f>
        <v>#VALUE!</v>
      </c>
    </row>
    <row r="44" spans="1:49" ht="15" thickBot="1">
      <c r="A44" s="165"/>
      <c r="B44" s="167"/>
      <c r="C44" s="167"/>
      <c r="D44" s="167"/>
      <c r="E44" s="167"/>
      <c r="F44" s="169"/>
      <c r="G44" s="27" t="s">
        <v>91</v>
      </c>
      <c r="H44" s="4"/>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6"/>
      <c r="AM44" s="171"/>
      <c r="AN44" s="173"/>
      <c r="AO44" s="175"/>
      <c r="AP44" s="153"/>
      <c r="AQ44" s="155"/>
      <c r="AR44" s="157"/>
      <c r="AS44" s="159"/>
      <c r="AT44" s="155"/>
      <c r="AU44" s="157"/>
      <c r="AV44" s="161"/>
      <c r="AW44" s="163"/>
    </row>
    <row r="45" spans="1:49">
      <c r="A45" s="164">
        <v>19</v>
      </c>
      <c r="B45" s="166"/>
      <c r="C45" s="166"/>
      <c r="D45" s="166"/>
      <c r="E45" s="166"/>
      <c r="F45" s="168"/>
      <c r="G45" s="23" t="s">
        <v>90</v>
      </c>
      <c r="H45" s="1"/>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3"/>
      <c r="AM45" s="170"/>
      <c r="AN45" s="172"/>
      <c r="AO45" s="174"/>
      <c r="AP45" s="152"/>
      <c r="AQ45" s="154" t="e">
        <f t="shared" ref="AQ45" si="105">((SUMPRODUCT(($H$5:$AL$5="Mon")*($H$6:$AL$6&lt;&gt;"PH")*($H$6:$AL$6&lt;&gt;"RH"),H45:AL45)+SUMPRODUCT(($H$5:$AL$5="Tue")*($H$6:$AL$6&lt;&gt;"PH")*($H$6:$AL$6&lt;&gt;"RH"),H45:AL45)+SUMPRODUCT(($H$5:$AL$5="Wed")*($H$6:$AL$6&lt;&gt;"PH")*($H$6:$AL$6&lt;&gt;"RH"),H45:AL45)+SUMPRODUCT(($H$5:$AL$5="Thu")*($H$6:$AL$6&lt;&gt;"PH")*($H$6:$AL$6&lt;&gt;"RH"),H45:AL45)+SUMPRODUCT(($H$5:$AL$5="Fri")*($H$6:$AL$6&lt;&gt;"PH")*($H$6:$AL$6&lt;&gt;"RH"),H45:AL45))+(SUMPRODUCT(($H$5:$AL$5="Mon")*($H$6:$AL$6&lt;&gt;"PH")*($H$6:$AL$6&lt;&gt;"RH"),H46:AL46)+SUMPRODUCT(($H$5:$AL$5="Tue")*($H$6:$AL$6&lt;&gt;"PH")*($H$6:$AL$6&lt;&gt;"RH"),H46:AL46)+SUMPRODUCT(($H$5:$AL$5="Wed")*($H$6:$AL$6&lt;&gt;"PH")*($H$6:$AL$6&lt;&gt;"RH"),H46:AL46)+SUMPRODUCT(($H$5:$AL$5="Thu")*($H$6:$AL$6&lt;&gt;"PH")*($H$6:$AL$6&lt;&gt;"RH"),H46:AL46)+SUMPRODUCT(($H$5:$AL$5="Fri")*($H$6:$AL$6&lt;&gt;"PH")*($H$6:$AL$6&lt;&gt;"RH"),H46:AL46)))/2</f>
        <v>#VALUE!</v>
      </c>
      <c r="AR45" s="156" t="e">
        <f>((SUMPRODUCT(($H$5:$AL$5="Sat")*($H$6:$AL$6&lt;&gt;"PH"),H45:AL45)+SUMPRODUCT(($H$5:$AL$5="Sun")*($H$6:$AL$6&lt;&gt;"PH"),H45:AL45)+((SUMPRODUCT(($H$5:$AL$5="Mon")*($H$6:$AL$6="RH"),H45:AL45)+((SUMPRODUCT(($H$5:$AL$5="Tue")*($H$6:$AL$6="RH"),H45:AL45)+((SUMPRODUCT(($H$5:$AL$5="Wed")*($H$6:$AL$6="RH"),H45:AL45)+((SUMPRODUCT(($H$5:$AL$5="Thu")*($H$6:$AL$6="RH"),H45:AL45)+((SUMPRODUCT(($H$5:$AL$5="Fri")*($H$6:$AL$6="RH"),H45:AL45)+(SUMPRODUCT(($H$5:$AL$5="Sat")*($H$6:$AL$6&lt;&gt;"PH"),H46:AL46)+SUMPRODUCT(($H$5:$AL$5="Sun")*($H$6:$AL$6&lt;&gt;"PH"),H46:AL46)+((SUMPRODUCT(($H$5:$AL$5="Mon")*($H$6:$AL$6="RH"),H46:AL46)+((SUMPRODUCT(($H$5:$AL$5="Tue")*($H$6:$AL$6="RH"),H46:AL46)+((SUMPRODUCT(($H$5:$AL$5="Wed")*($H$6:$AL$6="RH"),H46:AL46)+((SUMPRODUCT(($H$5:$AL$5="Thu")*($H$6:$AL$6="RH"),H46:AL46)+((SUMPRODUCT(($H$5:$AL$5="Fri")*($H$6:$AL$6="RH"),H46:AL46))))))))))))))))))))))))/2</f>
        <v>#VALUE!</v>
      </c>
      <c r="AS45" s="158">
        <f t="shared" ref="AS45" si="106">(SUMIF($H$6:$AL$6,"PH",H45:AL45)+SUMIF($H$6:$AL$6,"PH",H46:AL46))/2</f>
        <v>0</v>
      </c>
      <c r="AT45" s="154">
        <f t="shared" ref="AT45" si="107">ROUND(D45/8*AM45*1.5,2)</f>
        <v>0</v>
      </c>
      <c r="AU45" s="156">
        <f t="shared" ref="AU45" si="108">ROUND(D45/8*AN45*2,2)</f>
        <v>0</v>
      </c>
      <c r="AV45" s="160">
        <f t="shared" ref="AV45" si="109">ROUND(D45/8*AO45*3,2)</f>
        <v>0</v>
      </c>
      <c r="AW45" s="162" t="e">
        <f t="shared" ref="AW45" si="110">(D45*(AQ45+2*AR45+3*AS45))+AT45+AU45+AV45+AP45</f>
        <v>#VALUE!</v>
      </c>
    </row>
    <row r="46" spans="1:49" ht="15" thickBot="1">
      <c r="A46" s="165"/>
      <c r="B46" s="167"/>
      <c r="C46" s="167"/>
      <c r="D46" s="167"/>
      <c r="E46" s="167"/>
      <c r="F46" s="169"/>
      <c r="G46" s="27" t="s">
        <v>91</v>
      </c>
      <c r="H46" s="4"/>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6"/>
      <c r="AM46" s="171"/>
      <c r="AN46" s="173"/>
      <c r="AO46" s="175"/>
      <c r="AP46" s="153"/>
      <c r="AQ46" s="155"/>
      <c r="AR46" s="157"/>
      <c r="AS46" s="159"/>
      <c r="AT46" s="155"/>
      <c r="AU46" s="157"/>
      <c r="AV46" s="161"/>
      <c r="AW46" s="163"/>
    </row>
    <row r="47" spans="1:49">
      <c r="A47" s="164">
        <v>20</v>
      </c>
      <c r="B47" s="166"/>
      <c r="C47" s="166"/>
      <c r="D47" s="166"/>
      <c r="E47" s="166"/>
      <c r="F47" s="168"/>
      <c r="G47" s="23" t="s">
        <v>90</v>
      </c>
      <c r="H47" s="1"/>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3"/>
      <c r="AM47" s="170"/>
      <c r="AN47" s="172"/>
      <c r="AO47" s="174"/>
      <c r="AP47" s="152"/>
      <c r="AQ47" s="154" t="e">
        <f t="shared" ref="AQ47" si="111">((SUMPRODUCT(($H$5:$AL$5="Mon")*($H$6:$AL$6&lt;&gt;"PH")*($H$6:$AL$6&lt;&gt;"RH"),H47:AL47)+SUMPRODUCT(($H$5:$AL$5="Tue")*($H$6:$AL$6&lt;&gt;"PH")*($H$6:$AL$6&lt;&gt;"RH"),H47:AL47)+SUMPRODUCT(($H$5:$AL$5="Wed")*($H$6:$AL$6&lt;&gt;"PH")*($H$6:$AL$6&lt;&gt;"RH"),H47:AL47)+SUMPRODUCT(($H$5:$AL$5="Thu")*($H$6:$AL$6&lt;&gt;"PH")*($H$6:$AL$6&lt;&gt;"RH"),H47:AL47)+SUMPRODUCT(($H$5:$AL$5="Fri")*($H$6:$AL$6&lt;&gt;"PH")*($H$6:$AL$6&lt;&gt;"RH"),H47:AL47))+(SUMPRODUCT(($H$5:$AL$5="Mon")*($H$6:$AL$6&lt;&gt;"PH")*($H$6:$AL$6&lt;&gt;"RH"),H48:AL48)+SUMPRODUCT(($H$5:$AL$5="Tue")*($H$6:$AL$6&lt;&gt;"PH")*($H$6:$AL$6&lt;&gt;"RH"),H48:AL48)+SUMPRODUCT(($H$5:$AL$5="Wed")*($H$6:$AL$6&lt;&gt;"PH")*($H$6:$AL$6&lt;&gt;"RH"),H48:AL48)+SUMPRODUCT(($H$5:$AL$5="Thu")*($H$6:$AL$6&lt;&gt;"PH")*($H$6:$AL$6&lt;&gt;"RH"),H48:AL48)+SUMPRODUCT(($H$5:$AL$5="Fri")*($H$6:$AL$6&lt;&gt;"PH")*($H$6:$AL$6&lt;&gt;"RH"),H48:AL48)))/2</f>
        <v>#VALUE!</v>
      </c>
      <c r="AR47" s="156" t="e">
        <f>((SUMPRODUCT(($H$5:$AL$5="Sat")*($H$6:$AL$6&lt;&gt;"PH"),H47:AL47)+SUMPRODUCT(($H$5:$AL$5="Sun")*($H$6:$AL$6&lt;&gt;"PH"),H47:AL47)+((SUMPRODUCT(($H$5:$AL$5="Mon")*($H$6:$AL$6="RH"),H47:AL47)+((SUMPRODUCT(($H$5:$AL$5="Tue")*($H$6:$AL$6="RH"),H47:AL47)+((SUMPRODUCT(($H$5:$AL$5="Wed")*($H$6:$AL$6="RH"),H47:AL47)+((SUMPRODUCT(($H$5:$AL$5="Thu")*($H$6:$AL$6="RH"),H47:AL47)+((SUMPRODUCT(($H$5:$AL$5="Fri")*($H$6:$AL$6="RH"),H47:AL47)+(SUMPRODUCT(($H$5:$AL$5="Sat")*($H$6:$AL$6&lt;&gt;"PH"),H48:AL48)+SUMPRODUCT(($H$5:$AL$5="Sun")*($H$6:$AL$6&lt;&gt;"PH"),H48:AL48)+((SUMPRODUCT(($H$5:$AL$5="Mon")*($H$6:$AL$6="RH"),H48:AL48)+((SUMPRODUCT(($H$5:$AL$5="Tue")*($H$6:$AL$6="RH"),H48:AL48)+((SUMPRODUCT(($H$5:$AL$5="Wed")*($H$6:$AL$6="RH"),H48:AL48)+((SUMPRODUCT(($H$5:$AL$5="Thu")*($H$6:$AL$6="RH"),H48:AL48)+((SUMPRODUCT(($H$5:$AL$5="Fri")*($H$6:$AL$6="RH"),H48:AL48))))))))))))))))))))))))/2</f>
        <v>#VALUE!</v>
      </c>
      <c r="AS47" s="158">
        <f t="shared" ref="AS47" si="112">(SUMIF($H$6:$AL$6,"PH",H47:AL47)+SUMIF($H$6:$AL$6,"PH",H48:AL48))/2</f>
        <v>0</v>
      </c>
      <c r="AT47" s="154">
        <f t="shared" ref="AT47" si="113">ROUND(D47/8*AM47*1.5,2)</f>
        <v>0</v>
      </c>
      <c r="AU47" s="156">
        <f t="shared" ref="AU47" si="114">ROUND(D47/8*AN47*2,2)</f>
        <v>0</v>
      </c>
      <c r="AV47" s="160">
        <f t="shared" ref="AV47" si="115">ROUND(D47/8*AO47*3,2)</f>
        <v>0</v>
      </c>
      <c r="AW47" s="162" t="e">
        <f t="shared" ref="AW47" si="116">(D47*(AQ47+2*AR47+3*AS47))+AT47+AU47+AV47+AP47</f>
        <v>#VALUE!</v>
      </c>
    </row>
    <row r="48" spans="1:49" ht="15" thickBot="1">
      <c r="A48" s="165"/>
      <c r="B48" s="167"/>
      <c r="C48" s="167"/>
      <c r="D48" s="167"/>
      <c r="E48" s="167"/>
      <c r="F48" s="169"/>
      <c r="G48" s="27" t="s">
        <v>91</v>
      </c>
      <c r="H48" s="4"/>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6"/>
      <c r="AM48" s="171"/>
      <c r="AN48" s="173"/>
      <c r="AO48" s="175"/>
      <c r="AP48" s="153"/>
      <c r="AQ48" s="155"/>
      <c r="AR48" s="157"/>
      <c r="AS48" s="159"/>
      <c r="AT48" s="155"/>
      <c r="AU48" s="157"/>
      <c r="AV48" s="161"/>
      <c r="AW48" s="163"/>
    </row>
    <row r="49" spans="1:49">
      <c r="A49" s="164">
        <v>21</v>
      </c>
      <c r="B49" s="166"/>
      <c r="C49" s="166"/>
      <c r="D49" s="166"/>
      <c r="E49" s="166"/>
      <c r="F49" s="168"/>
      <c r="G49" s="23" t="s">
        <v>90</v>
      </c>
      <c r="H49" s="1"/>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3"/>
      <c r="AM49" s="170"/>
      <c r="AN49" s="172"/>
      <c r="AO49" s="174"/>
      <c r="AP49" s="152"/>
      <c r="AQ49" s="154" t="e">
        <f t="shared" ref="AQ49" si="117">((SUMPRODUCT(($H$5:$AL$5="Mon")*($H$6:$AL$6&lt;&gt;"PH")*($H$6:$AL$6&lt;&gt;"RH"),H49:AL49)+SUMPRODUCT(($H$5:$AL$5="Tue")*($H$6:$AL$6&lt;&gt;"PH")*($H$6:$AL$6&lt;&gt;"RH"),H49:AL49)+SUMPRODUCT(($H$5:$AL$5="Wed")*($H$6:$AL$6&lt;&gt;"PH")*($H$6:$AL$6&lt;&gt;"RH"),H49:AL49)+SUMPRODUCT(($H$5:$AL$5="Thu")*($H$6:$AL$6&lt;&gt;"PH")*($H$6:$AL$6&lt;&gt;"RH"),H49:AL49)+SUMPRODUCT(($H$5:$AL$5="Fri")*($H$6:$AL$6&lt;&gt;"PH")*($H$6:$AL$6&lt;&gt;"RH"),H49:AL49))+(SUMPRODUCT(($H$5:$AL$5="Mon")*($H$6:$AL$6&lt;&gt;"PH")*($H$6:$AL$6&lt;&gt;"RH"),H50:AL50)+SUMPRODUCT(($H$5:$AL$5="Tue")*($H$6:$AL$6&lt;&gt;"PH")*($H$6:$AL$6&lt;&gt;"RH"),H50:AL50)+SUMPRODUCT(($H$5:$AL$5="Wed")*($H$6:$AL$6&lt;&gt;"PH")*($H$6:$AL$6&lt;&gt;"RH"),H50:AL50)+SUMPRODUCT(($H$5:$AL$5="Thu")*($H$6:$AL$6&lt;&gt;"PH")*($H$6:$AL$6&lt;&gt;"RH"),H50:AL50)+SUMPRODUCT(($H$5:$AL$5="Fri")*($H$6:$AL$6&lt;&gt;"PH")*($H$6:$AL$6&lt;&gt;"RH"),H50:AL50)))/2</f>
        <v>#VALUE!</v>
      </c>
      <c r="AR49" s="156" t="e">
        <f>((SUMPRODUCT(($H$5:$AL$5="Sat")*($H$6:$AL$6&lt;&gt;"PH"),H49:AL49)+SUMPRODUCT(($H$5:$AL$5="Sun")*($H$6:$AL$6&lt;&gt;"PH"),H49:AL49)+((SUMPRODUCT(($H$5:$AL$5="Mon")*($H$6:$AL$6="RH"),H49:AL49)+((SUMPRODUCT(($H$5:$AL$5="Tue")*($H$6:$AL$6="RH"),H49:AL49)+((SUMPRODUCT(($H$5:$AL$5="Wed")*($H$6:$AL$6="RH"),H49:AL49)+((SUMPRODUCT(($H$5:$AL$5="Thu")*($H$6:$AL$6="RH"),H49:AL49)+((SUMPRODUCT(($H$5:$AL$5="Fri")*($H$6:$AL$6="RH"),H49:AL49)+(SUMPRODUCT(($H$5:$AL$5="Sat")*($H$6:$AL$6&lt;&gt;"PH"),H50:AL50)+SUMPRODUCT(($H$5:$AL$5="Sun")*($H$6:$AL$6&lt;&gt;"PH"),H50:AL50)+((SUMPRODUCT(($H$5:$AL$5="Mon")*($H$6:$AL$6="RH"),H50:AL50)+((SUMPRODUCT(($H$5:$AL$5="Tue")*($H$6:$AL$6="RH"),H50:AL50)+((SUMPRODUCT(($H$5:$AL$5="Wed")*($H$6:$AL$6="RH"),H50:AL50)+((SUMPRODUCT(($H$5:$AL$5="Thu")*($H$6:$AL$6="RH"),H50:AL50)+((SUMPRODUCT(($H$5:$AL$5="Fri")*($H$6:$AL$6="RH"),H50:AL50))))))))))))))))))))))))/2</f>
        <v>#VALUE!</v>
      </c>
      <c r="AS49" s="158">
        <f t="shared" ref="AS49" si="118">(SUMIF($H$6:$AL$6,"PH",H49:AL49)+SUMIF($H$6:$AL$6,"PH",H50:AL50))/2</f>
        <v>0</v>
      </c>
      <c r="AT49" s="154">
        <f t="shared" ref="AT49" si="119">ROUND(D49/8*AM49*1.5,2)</f>
        <v>0</v>
      </c>
      <c r="AU49" s="156">
        <f t="shared" ref="AU49" si="120">ROUND(D49/8*AN49*2,2)</f>
        <v>0</v>
      </c>
      <c r="AV49" s="160">
        <f t="shared" ref="AV49" si="121">ROUND(D49/8*AO49*3,2)</f>
        <v>0</v>
      </c>
      <c r="AW49" s="162" t="e">
        <f t="shared" ref="AW49" si="122">(D49*(AQ49+2*AR49+3*AS49))+AT49+AU49+AV49+AP49</f>
        <v>#VALUE!</v>
      </c>
    </row>
    <row r="50" spans="1:49" ht="15" thickBot="1">
      <c r="A50" s="165"/>
      <c r="B50" s="167"/>
      <c r="C50" s="167"/>
      <c r="D50" s="167"/>
      <c r="E50" s="167"/>
      <c r="F50" s="169"/>
      <c r="G50" s="27" t="s">
        <v>91</v>
      </c>
      <c r="H50" s="4"/>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6"/>
      <c r="AM50" s="171"/>
      <c r="AN50" s="173"/>
      <c r="AO50" s="175"/>
      <c r="AP50" s="153"/>
      <c r="AQ50" s="155"/>
      <c r="AR50" s="157"/>
      <c r="AS50" s="159"/>
      <c r="AT50" s="155"/>
      <c r="AU50" s="157"/>
      <c r="AV50" s="161"/>
      <c r="AW50" s="163"/>
    </row>
    <row r="51" spans="1:49">
      <c r="A51" s="164">
        <v>22</v>
      </c>
      <c r="B51" s="166"/>
      <c r="C51" s="166"/>
      <c r="D51" s="166"/>
      <c r="E51" s="166"/>
      <c r="F51" s="168"/>
      <c r="G51" s="23" t="s">
        <v>90</v>
      </c>
      <c r="H51" s="1"/>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3"/>
      <c r="AM51" s="170"/>
      <c r="AN51" s="172"/>
      <c r="AO51" s="174"/>
      <c r="AP51" s="152"/>
      <c r="AQ51" s="154" t="e">
        <f t="shared" ref="AQ51" si="123">((SUMPRODUCT(($H$5:$AL$5="Mon")*($H$6:$AL$6&lt;&gt;"PH")*($H$6:$AL$6&lt;&gt;"RH"),H51:AL51)+SUMPRODUCT(($H$5:$AL$5="Tue")*($H$6:$AL$6&lt;&gt;"PH")*($H$6:$AL$6&lt;&gt;"RH"),H51:AL51)+SUMPRODUCT(($H$5:$AL$5="Wed")*($H$6:$AL$6&lt;&gt;"PH")*($H$6:$AL$6&lt;&gt;"RH"),H51:AL51)+SUMPRODUCT(($H$5:$AL$5="Thu")*($H$6:$AL$6&lt;&gt;"PH")*($H$6:$AL$6&lt;&gt;"RH"),H51:AL51)+SUMPRODUCT(($H$5:$AL$5="Fri")*($H$6:$AL$6&lt;&gt;"PH")*($H$6:$AL$6&lt;&gt;"RH"),H51:AL51))+(SUMPRODUCT(($H$5:$AL$5="Mon")*($H$6:$AL$6&lt;&gt;"PH")*($H$6:$AL$6&lt;&gt;"RH"),H52:AL52)+SUMPRODUCT(($H$5:$AL$5="Tue")*($H$6:$AL$6&lt;&gt;"PH")*($H$6:$AL$6&lt;&gt;"RH"),H52:AL52)+SUMPRODUCT(($H$5:$AL$5="Wed")*($H$6:$AL$6&lt;&gt;"PH")*($H$6:$AL$6&lt;&gt;"RH"),H52:AL52)+SUMPRODUCT(($H$5:$AL$5="Thu")*($H$6:$AL$6&lt;&gt;"PH")*($H$6:$AL$6&lt;&gt;"RH"),H52:AL52)+SUMPRODUCT(($H$5:$AL$5="Fri")*($H$6:$AL$6&lt;&gt;"PH")*($H$6:$AL$6&lt;&gt;"RH"),H52:AL52)))/2</f>
        <v>#VALUE!</v>
      </c>
      <c r="AR51" s="156" t="e">
        <f>((SUMPRODUCT(($H$5:$AL$5="Sat")*($H$6:$AL$6&lt;&gt;"PH"),H51:AL51)+SUMPRODUCT(($H$5:$AL$5="Sun")*($H$6:$AL$6&lt;&gt;"PH"),H51:AL51)+((SUMPRODUCT(($H$5:$AL$5="Mon")*($H$6:$AL$6="RH"),H51:AL51)+((SUMPRODUCT(($H$5:$AL$5="Tue")*($H$6:$AL$6="RH"),H51:AL51)+((SUMPRODUCT(($H$5:$AL$5="Wed")*($H$6:$AL$6="RH"),H51:AL51)+((SUMPRODUCT(($H$5:$AL$5="Thu")*($H$6:$AL$6="RH"),H51:AL51)+((SUMPRODUCT(($H$5:$AL$5="Fri")*($H$6:$AL$6="RH"),H51:AL51)+(SUMPRODUCT(($H$5:$AL$5="Sat")*($H$6:$AL$6&lt;&gt;"PH"),H52:AL52)+SUMPRODUCT(($H$5:$AL$5="Sun")*($H$6:$AL$6&lt;&gt;"PH"),H52:AL52)+((SUMPRODUCT(($H$5:$AL$5="Mon")*($H$6:$AL$6="RH"),H52:AL52)+((SUMPRODUCT(($H$5:$AL$5="Tue")*($H$6:$AL$6="RH"),H52:AL52)+((SUMPRODUCT(($H$5:$AL$5="Wed")*($H$6:$AL$6="RH"),H52:AL52)+((SUMPRODUCT(($H$5:$AL$5="Thu")*($H$6:$AL$6="RH"),H52:AL52)+((SUMPRODUCT(($H$5:$AL$5="Fri")*($H$6:$AL$6="RH"),H52:AL52))))))))))))))))))))))))/2</f>
        <v>#VALUE!</v>
      </c>
      <c r="AS51" s="158">
        <f t="shared" ref="AS51" si="124">(SUMIF($H$6:$AL$6,"PH",H51:AL51)+SUMIF($H$6:$AL$6,"PH",H52:AL52))/2</f>
        <v>0</v>
      </c>
      <c r="AT51" s="154">
        <f t="shared" ref="AT51" si="125">ROUND(D51/8*AM51*1.5,2)</f>
        <v>0</v>
      </c>
      <c r="AU51" s="156">
        <f t="shared" ref="AU51" si="126">ROUND(D51/8*AN51*2,2)</f>
        <v>0</v>
      </c>
      <c r="AV51" s="160">
        <f t="shared" ref="AV51" si="127">ROUND(D51/8*AO51*3,2)</f>
        <v>0</v>
      </c>
      <c r="AW51" s="162" t="e">
        <f t="shared" ref="AW51" si="128">(D51*(AQ51+2*AR51+3*AS51))+AT51+AU51+AV51+AP51</f>
        <v>#VALUE!</v>
      </c>
    </row>
    <row r="52" spans="1:49" ht="15" thickBot="1">
      <c r="A52" s="165"/>
      <c r="B52" s="167"/>
      <c r="C52" s="167"/>
      <c r="D52" s="167"/>
      <c r="E52" s="167"/>
      <c r="F52" s="169"/>
      <c r="G52" s="27" t="s">
        <v>91</v>
      </c>
      <c r="H52" s="4"/>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6"/>
      <c r="AM52" s="171"/>
      <c r="AN52" s="173"/>
      <c r="AO52" s="175"/>
      <c r="AP52" s="153"/>
      <c r="AQ52" s="155"/>
      <c r="AR52" s="157"/>
      <c r="AS52" s="159"/>
      <c r="AT52" s="155"/>
      <c r="AU52" s="157"/>
      <c r="AV52" s="161"/>
      <c r="AW52" s="163"/>
    </row>
    <row r="53" spans="1:49">
      <c r="A53" s="164">
        <v>23</v>
      </c>
      <c r="B53" s="166"/>
      <c r="C53" s="166"/>
      <c r="D53" s="166"/>
      <c r="E53" s="166"/>
      <c r="F53" s="168"/>
      <c r="G53" s="23" t="s">
        <v>90</v>
      </c>
      <c r="H53" s="1"/>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3"/>
      <c r="AM53" s="170"/>
      <c r="AN53" s="172"/>
      <c r="AO53" s="174"/>
      <c r="AP53" s="152"/>
      <c r="AQ53" s="154" t="e">
        <f t="shared" ref="AQ53" si="129">((SUMPRODUCT(($H$5:$AL$5="Mon")*($H$6:$AL$6&lt;&gt;"PH")*($H$6:$AL$6&lt;&gt;"RH"),H53:AL53)+SUMPRODUCT(($H$5:$AL$5="Tue")*($H$6:$AL$6&lt;&gt;"PH")*($H$6:$AL$6&lt;&gt;"RH"),H53:AL53)+SUMPRODUCT(($H$5:$AL$5="Wed")*($H$6:$AL$6&lt;&gt;"PH")*($H$6:$AL$6&lt;&gt;"RH"),H53:AL53)+SUMPRODUCT(($H$5:$AL$5="Thu")*($H$6:$AL$6&lt;&gt;"PH")*($H$6:$AL$6&lt;&gt;"RH"),H53:AL53)+SUMPRODUCT(($H$5:$AL$5="Fri")*($H$6:$AL$6&lt;&gt;"PH")*($H$6:$AL$6&lt;&gt;"RH"),H53:AL53))+(SUMPRODUCT(($H$5:$AL$5="Mon")*($H$6:$AL$6&lt;&gt;"PH")*($H$6:$AL$6&lt;&gt;"RH"),H54:AL54)+SUMPRODUCT(($H$5:$AL$5="Tue")*($H$6:$AL$6&lt;&gt;"PH")*($H$6:$AL$6&lt;&gt;"RH"),H54:AL54)+SUMPRODUCT(($H$5:$AL$5="Wed")*($H$6:$AL$6&lt;&gt;"PH")*($H$6:$AL$6&lt;&gt;"RH"),H54:AL54)+SUMPRODUCT(($H$5:$AL$5="Thu")*($H$6:$AL$6&lt;&gt;"PH")*($H$6:$AL$6&lt;&gt;"RH"),H54:AL54)+SUMPRODUCT(($H$5:$AL$5="Fri")*($H$6:$AL$6&lt;&gt;"PH")*($H$6:$AL$6&lt;&gt;"RH"),H54:AL54)))/2</f>
        <v>#VALUE!</v>
      </c>
      <c r="AR53" s="156" t="e">
        <f>((SUMPRODUCT(($H$5:$AL$5="Sat")*($H$6:$AL$6&lt;&gt;"PH"),H53:AL53)+SUMPRODUCT(($H$5:$AL$5="Sun")*($H$6:$AL$6&lt;&gt;"PH"),H53:AL53)+((SUMPRODUCT(($H$5:$AL$5="Mon")*($H$6:$AL$6="RH"),H53:AL53)+((SUMPRODUCT(($H$5:$AL$5="Tue")*($H$6:$AL$6="RH"),H53:AL53)+((SUMPRODUCT(($H$5:$AL$5="Wed")*($H$6:$AL$6="RH"),H53:AL53)+((SUMPRODUCT(($H$5:$AL$5="Thu")*($H$6:$AL$6="RH"),H53:AL53)+((SUMPRODUCT(($H$5:$AL$5="Fri")*($H$6:$AL$6="RH"),H53:AL53)+(SUMPRODUCT(($H$5:$AL$5="Sat")*($H$6:$AL$6&lt;&gt;"PH"),H54:AL54)+SUMPRODUCT(($H$5:$AL$5="Sun")*($H$6:$AL$6&lt;&gt;"PH"),H54:AL54)+((SUMPRODUCT(($H$5:$AL$5="Mon")*($H$6:$AL$6="RH"),H54:AL54)+((SUMPRODUCT(($H$5:$AL$5="Tue")*($H$6:$AL$6="RH"),H54:AL54)+((SUMPRODUCT(($H$5:$AL$5="Wed")*($H$6:$AL$6="RH"),H54:AL54)+((SUMPRODUCT(($H$5:$AL$5="Thu")*($H$6:$AL$6="RH"),H54:AL54)+((SUMPRODUCT(($H$5:$AL$5="Fri")*($H$6:$AL$6="RH"),H54:AL54))))))))))))))))))))))))/2</f>
        <v>#VALUE!</v>
      </c>
      <c r="AS53" s="158">
        <f t="shared" ref="AS53" si="130">(SUMIF($H$6:$AL$6,"PH",H53:AL53)+SUMIF($H$6:$AL$6,"PH",H54:AL54))/2</f>
        <v>0</v>
      </c>
      <c r="AT53" s="154">
        <f t="shared" ref="AT53" si="131">ROUND(D53/8*AM53*1.5,2)</f>
        <v>0</v>
      </c>
      <c r="AU53" s="156">
        <f t="shared" ref="AU53" si="132">ROUND(D53/8*AN53*2,2)</f>
        <v>0</v>
      </c>
      <c r="AV53" s="160">
        <f t="shared" ref="AV53" si="133">ROUND(D53/8*AO53*3,2)</f>
        <v>0</v>
      </c>
      <c r="AW53" s="162" t="e">
        <f t="shared" ref="AW53" si="134">(D53*(AQ53+2*AR53+3*AS53))+AT53+AU53+AV53+AP53</f>
        <v>#VALUE!</v>
      </c>
    </row>
    <row r="54" spans="1:49" ht="15" thickBot="1">
      <c r="A54" s="165"/>
      <c r="B54" s="167"/>
      <c r="C54" s="167"/>
      <c r="D54" s="167"/>
      <c r="E54" s="167"/>
      <c r="F54" s="169"/>
      <c r="G54" s="27" t="s">
        <v>91</v>
      </c>
      <c r="H54" s="4"/>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6"/>
      <c r="AM54" s="171"/>
      <c r="AN54" s="173"/>
      <c r="AO54" s="175"/>
      <c r="AP54" s="153"/>
      <c r="AQ54" s="155"/>
      <c r="AR54" s="157"/>
      <c r="AS54" s="159"/>
      <c r="AT54" s="155"/>
      <c r="AU54" s="157"/>
      <c r="AV54" s="161"/>
      <c r="AW54" s="163"/>
    </row>
    <row r="55" spans="1:49">
      <c r="A55" s="164">
        <v>24</v>
      </c>
      <c r="B55" s="166"/>
      <c r="C55" s="166"/>
      <c r="D55" s="166"/>
      <c r="E55" s="166"/>
      <c r="F55" s="168"/>
      <c r="G55" s="23" t="s">
        <v>90</v>
      </c>
      <c r="H55" s="1"/>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3"/>
      <c r="AM55" s="170"/>
      <c r="AN55" s="172"/>
      <c r="AO55" s="174"/>
      <c r="AP55" s="152"/>
      <c r="AQ55" s="154" t="e">
        <f t="shared" ref="AQ55" si="135">((SUMPRODUCT(($H$5:$AL$5="Mon")*($H$6:$AL$6&lt;&gt;"PH")*($H$6:$AL$6&lt;&gt;"RH"),H55:AL55)+SUMPRODUCT(($H$5:$AL$5="Tue")*($H$6:$AL$6&lt;&gt;"PH")*($H$6:$AL$6&lt;&gt;"RH"),H55:AL55)+SUMPRODUCT(($H$5:$AL$5="Wed")*($H$6:$AL$6&lt;&gt;"PH")*($H$6:$AL$6&lt;&gt;"RH"),H55:AL55)+SUMPRODUCT(($H$5:$AL$5="Thu")*($H$6:$AL$6&lt;&gt;"PH")*($H$6:$AL$6&lt;&gt;"RH"),H55:AL55)+SUMPRODUCT(($H$5:$AL$5="Fri")*($H$6:$AL$6&lt;&gt;"PH")*($H$6:$AL$6&lt;&gt;"RH"),H55:AL55))+(SUMPRODUCT(($H$5:$AL$5="Mon")*($H$6:$AL$6&lt;&gt;"PH")*($H$6:$AL$6&lt;&gt;"RH"),H56:AL56)+SUMPRODUCT(($H$5:$AL$5="Tue")*($H$6:$AL$6&lt;&gt;"PH")*($H$6:$AL$6&lt;&gt;"RH"),H56:AL56)+SUMPRODUCT(($H$5:$AL$5="Wed")*($H$6:$AL$6&lt;&gt;"PH")*($H$6:$AL$6&lt;&gt;"RH"),H56:AL56)+SUMPRODUCT(($H$5:$AL$5="Thu")*($H$6:$AL$6&lt;&gt;"PH")*($H$6:$AL$6&lt;&gt;"RH"),H56:AL56)+SUMPRODUCT(($H$5:$AL$5="Fri")*($H$6:$AL$6&lt;&gt;"PH")*($H$6:$AL$6&lt;&gt;"RH"),H56:AL56)))/2</f>
        <v>#VALUE!</v>
      </c>
      <c r="AR55" s="156" t="e">
        <f>((SUMPRODUCT(($H$5:$AL$5="Sat")*($H$6:$AL$6&lt;&gt;"PH"),H55:AL55)+SUMPRODUCT(($H$5:$AL$5="Sun")*($H$6:$AL$6&lt;&gt;"PH"),H55:AL55)+((SUMPRODUCT(($H$5:$AL$5="Mon")*($H$6:$AL$6="RH"),H55:AL55)+((SUMPRODUCT(($H$5:$AL$5="Tue")*($H$6:$AL$6="RH"),H55:AL55)+((SUMPRODUCT(($H$5:$AL$5="Wed")*($H$6:$AL$6="RH"),H55:AL55)+((SUMPRODUCT(($H$5:$AL$5="Thu")*($H$6:$AL$6="RH"),H55:AL55)+((SUMPRODUCT(($H$5:$AL$5="Fri")*($H$6:$AL$6="RH"),H55:AL55)+(SUMPRODUCT(($H$5:$AL$5="Sat")*($H$6:$AL$6&lt;&gt;"PH"),H56:AL56)+SUMPRODUCT(($H$5:$AL$5="Sun")*($H$6:$AL$6&lt;&gt;"PH"),H56:AL56)+((SUMPRODUCT(($H$5:$AL$5="Mon")*($H$6:$AL$6="RH"),H56:AL56)+((SUMPRODUCT(($H$5:$AL$5="Tue")*($H$6:$AL$6="RH"),H56:AL56)+((SUMPRODUCT(($H$5:$AL$5="Wed")*($H$6:$AL$6="RH"),H56:AL56)+((SUMPRODUCT(($H$5:$AL$5="Thu")*($H$6:$AL$6="RH"),H56:AL56)+((SUMPRODUCT(($H$5:$AL$5="Fri")*($H$6:$AL$6="RH"),H56:AL56))))))))))))))))))))))))/2</f>
        <v>#VALUE!</v>
      </c>
      <c r="AS55" s="158">
        <f t="shared" ref="AS55" si="136">(SUMIF($H$6:$AL$6,"PH",H55:AL55)+SUMIF($H$6:$AL$6,"PH",H56:AL56))/2</f>
        <v>0</v>
      </c>
      <c r="AT55" s="154">
        <f t="shared" ref="AT55" si="137">ROUND(D55/8*AM55*1.5,2)</f>
        <v>0</v>
      </c>
      <c r="AU55" s="156">
        <f t="shared" ref="AU55" si="138">ROUND(D55/8*AN55*2,2)</f>
        <v>0</v>
      </c>
      <c r="AV55" s="160">
        <f t="shared" ref="AV55" si="139">ROUND(D55/8*AO55*3,2)</f>
        <v>0</v>
      </c>
      <c r="AW55" s="162" t="e">
        <f t="shared" ref="AW55" si="140">(D55*(AQ55+2*AR55+3*AS55))+AT55+AU55+AV55+AP55</f>
        <v>#VALUE!</v>
      </c>
    </row>
    <row r="56" spans="1:49" ht="15" thickBot="1">
      <c r="A56" s="165"/>
      <c r="B56" s="167"/>
      <c r="C56" s="167"/>
      <c r="D56" s="167"/>
      <c r="E56" s="167"/>
      <c r="F56" s="169"/>
      <c r="G56" s="27" t="s">
        <v>91</v>
      </c>
      <c r="H56" s="4"/>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6"/>
      <c r="AM56" s="171"/>
      <c r="AN56" s="173"/>
      <c r="AO56" s="175"/>
      <c r="AP56" s="153"/>
      <c r="AQ56" s="155"/>
      <c r="AR56" s="157"/>
      <c r="AS56" s="159"/>
      <c r="AT56" s="155"/>
      <c r="AU56" s="157"/>
      <c r="AV56" s="161"/>
      <c r="AW56" s="163"/>
    </row>
    <row r="57" spans="1:49">
      <c r="A57" s="164">
        <v>25</v>
      </c>
      <c r="B57" s="166"/>
      <c r="C57" s="166"/>
      <c r="D57" s="166"/>
      <c r="E57" s="166"/>
      <c r="F57" s="168"/>
      <c r="G57" s="23" t="s">
        <v>90</v>
      </c>
      <c r="H57" s="1"/>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3"/>
      <c r="AM57" s="170"/>
      <c r="AN57" s="172"/>
      <c r="AO57" s="174"/>
      <c r="AP57" s="152"/>
      <c r="AQ57" s="154" t="e">
        <f t="shared" ref="AQ57" si="141">((SUMPRODUCT(($H$5:$AL$5="Mon")*($H$6:$AL$6&lt;&gt;"PH")*($H$6:$AL$6&lt;&gt;"RH"),H57:AL57)+SUMPRODUCT(($H$5:$AL$5="Tue")*($H$6:$AL$6&lt;&gt;"PH")*($H$6:$AL$6&lt;&gt;"RH"),H57:AL57)+SUMPRODUCT(($H$5:$AL$5="Wed")*($H$6:$AL$6&lt;&gt;"PH")*($H$6:$AL$6&lt;&gt;"RH"),H57:AL57)+SUMPRODUCT(($H$5:$AL$5="Thu")*($H$6:$AL$6&lt;&gt;"PH")*($H$6:$AL$6&lt;&gt;"RH"),H57:AL57)+SUMPRODUCT(($H$5:$AL$5="Fri")*($H$6:$AL$6&lt;&gt;"PH")*($H$6:$AL$6&lt;&gt;"RH"),H57:AL57))+(SUMPRODUCT(($H$5:$AL$5="Mon")*($H$6:$AL$6&lt;&gt;"PH")*($H$6:$AL$6&lt;&gt;"RH"),H58:AL58)+SUMPRODUCT(($H$5:$AL$5="Tue")*($H$6:$AL$6&lt;&gt;"PH")*($H$6:$AL$6&lt;&gt;"RH"),H58:AL58)+SUMPRODUCT(($H$5:$AL$5="Wed")*($H$6:$AL$6&lt;&gt;"PH")*($H$6:$AL$6&lt;&gt;"RH"),H58:AL58)+SUMPRODUCT(($H$5:$AL$5="Thu")*($H$6:$AL$6&lt;&gt;"PH")*($H$6:$AL$6&lt;&gt;"RH"),H58:AL58)+SUMPRODUCT(($H$5:$AL$5="Fri")*($H$6:$AL$6&lt;&gt;"PH")*($H$6:$AL$6&lt;&gt;"RH"),H58:AL58)))/2</f>
        <v>#VALUE!</v>
      </c>
      <c r="AR57" s="156" t="e">
        <f>((SUMPRODUCT(($H$5:$AL$5="Sat")*($H$6:$AL$6&lt;&gt;"PH"),H57:AL57)+SUMPRODUCT(($H$5:$AL$5="Sun")*($H$6:$AL$6&lt;&gt;"PH"),H57:AL57)+((SUMPRODUCT(($H$5:$AL$5="Mon")*($H$6:$AL$6="RH"),H57:AL57)+((SUMPRODUCT(($H$5:$AL$5="Tue")*($H$6:$AL$6="RH"),H57:AL57)+((SUMPRODUCT(($H$5:$AL$5="Wed")*($H$6:$AL$6="RH"),H57:AL57)+((SUMPRODUCT(($H$5:$AL$5="Thu")*($H$6:$AL$6="RH"),H57:AL57)+((SUMPRODUCT(($H$5:$AL$5="Fri")*($H$6:$AL$6="RH"),H57:AL57)+(SUMPRODUCT(($H$5:$AL$5="Sat")*($H$6:$AL$6&lt;&gt;"PH"),H58:AL58)+SUMPRODUCT(($H$5:$AL$5="Sun")*($H$6:$AL$6&lt;&gt;"PH"),H58:AL58)+((SUMPRODUCT(($H$5:$AL$5="Mon")*($H$6:$AL$6="RH"),H58:AL58)+((SUMPRODUCT(($H$5:$AL$5="Tue")*($H$6:$AL$6="RH"),H58:AL58)+((SUMPRODUCT(($H$5:$AL$5="Wed")*($H$6:$AL$6="RH"),H58:AL58)+((SUMPRODUCT(($H$5:$AL$5="Thu")*($H$6:$AL$6="RH"),H58:AL58)+((SUMPRODUCT(($H$5:$AL$5="Fri")*($H$6:$AL$6="RH"),H58:AL58))))))))))))))))))))))))/2</f>
        <v>#VALUE!</v>
      </c>
      <c r="AS57" s="158">
        <f t="shared" ref="AS57" si="142">(SUMIF($H$6:$AL$6,"PH",H57:AL57)+SUMIF($H$6:$AL$6,"PH",H58:AL58))/2</f>
        <v>0</v>
      </c>
      <c r="AT57" s="154">
        <f t="shared" ref="AT57" si="143">ROUND(D57/8*AM57*1.5,2)</f>
        <v>0</v>
      </c>
      <c r="AU57" s="156">
        <f t="shared" ref="AU57" si="144">ROUND(D57/8*AN57*2,2)</f>
        <v>0</v>
      </c>
      <c r="AV57" s="160">
        <f t="shared" ref="AV57" si="145">ROUND(D57/8*AO57*3,2)</f>
        <v>0</v>
      </c>
      <c r="AW57" s="162" t="e">
        <f t="shared" ref="AW57" si="146">(D57*(AQ57+2*AR57+3*AS57))+AT57+AU57+AV57+AP57</f>
        <v>#VALUE!</v>
      </c>
    </row>
    <row r="58" spans="1:49" ht="15" thickBot="1">
      <c r="A58" s="165"/>
      <c r="B58" s="167"/>
      <c r="C58" s="167"/>
      <c r="D58" s="167"/>
      <c r="E58" s="167"/>
      <c r="F58" s="169"/>
      <c r="G58" s="27" t="s">
        <v>91</v>
      </c>
      <c r="H58" s="4"/>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6"/>
      <c r="AM58" s="171"/>
      <c r="AN58" s="173"/>
      <c r="AO58" s="175"/>
      <c r="AP58" s="153"/>
      <c r="AQ58" s="155"/>
      <c r="AR58" s="157"/>
      <c r="AS58" s="159"/>
      <c r="AT58" s="155"/>
      <c r="AU58" s="157"/>
      <c r="AV58" s="161"/>
      <c r="AW58" s="163"/>
    </row>
    <row r="59" spans="1:49">
      <c r="A59" s="164">
        <v>26</v>
      </c>
      <c r="B59" s="166"/>
      <c r="C59" s="166"/>
      <c r="D59" s="166"/>
      <c r="E59" s="166"/>
      <c r="F59" s="168"/>
      <c r="G59" s="23" t="s">
        <v>90</v>
      </c>
      <c r="H59" s="1"/>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3"/>
      <c r="AM59" s="170"/>
      <c r="AN59" s="172"/>
      <c r="AO59" s="174"/>
      <c r="AP59" s="152"/>
      <c r="AQ59" s="154" t="e">
        <f t="shared" ref="AQ59" si="147">((SUMPRODUCT(($H$5:$AL$5="Mon")*($H$6:$AL$6&lt;&gt;"PH")*($H$6:$AL$6&lt;&gt;"RH"),H59:AL59)+SUMPRODUCT(($H$5:$AL$5="Tue")*($H$6:$AL$6&lt;&gt;"PH")*($H$6:$AL$6&lt;&gt;"RH"),H59:AL59)+SUMPRODUCT(($H$5:$AL$5="Wed")*($H$6:$AL$6&lt;&gt;"PH")*($H$6:$AL$6&lt;&gt;"RH"),H59:AL59)+SUMPRODUCT(($H$5:$AL$5="Thu")*($H$6:$AL$6&lt;&gt;"PH")*($H$6:$AL$6&lt;&gt;"RH"),H59:AL59)+SUMPRODUCT(($H$5:$AL$5="Fri")*($H$6:$AL$6&lt;&gt;"PH")*($H$6:$AL$6&lt;&gt;"RH"),H59:AL59))+(SUMPRODUCT(($H$5:$AL$5="Mon")*($H$6:$AL$6&lt;&gt;"PH")*($H$6:$AL$6&lt;&gt;"RH"),H60:AL60)+SUMPRODUCT(($H$5:$AL$5="Tue")*($H$6:$AL$6&lt;&gt;"PH")*($H$6:$AL$6&lt;&gt;"RH"),H60:AL60)+SUMPRODUCT(($H$5:$AL$5="Wed")*($H$6:$AL$6&lt;&gt;"PH")*($H$6:$AL$6&lt;&gt;"RH"),H60:AL60)+SUMPRODUCT(($H$5:$AL$5="Thu")*($H$6:$AL$6&lt;&gt;"PH")*($H$6:$AL$6&lt;&gt;"RH"),H60:AL60)+SUMPRODUCT(($H$5:$AL$5="Fri")*($H$6:$AL$6&lt;&gt;"PH")*($H$6:$AL$6&lt;&gt;"RH"),H60:AL60)))/2</f>
        <v>#VALUE!</v>
      </c>
      <c r="AR59" s="156" t="e">
        <f>((SUMPRODUCT(($H$5:$AL$5="Sat")*($H$6:$AL$6&lt;&gt;"PH"),H59:AL59)+SUMPRODUCT(($H$5:$AL$5="Sun")*($H$6:$AL$6&lt;&gt;"PH"),H59:AL59)+((SUMPRODUCT(($H$5:$AL$5="Mon")*($H$6:$AL$6="RH"),H59:AL59)+((SUMPRODUCT(($H$5:$AL$5="Tue")*($H$6:$AL$6="RH"),H59:AL59)+((SUMPRODUCT(($H$5:$AL$5="Wed")*($H$6:$AL$6="RH"),H59:AL59)+((SUMPRODUCT(($H$5:$AL$5="Thu")*($H$6:$AL$6="RH"),H59:AL59)+((SUMPRODUCT(($H$5:$AL$5="Fri")*($H$6:$AL$6="RH"),H59:AL59)+(SUMPRODUCT(($H$5:$AL$5="Sat")*($H$6:$AL$6&lt;&gt;"PH"),H60:AL60)+SUMPRODUCT(($H$5:$AL$5="Sun")*($H$6:$AL$6&lt;&gt;"PH"),H60:AL60)+((SUMPRODUCT(($H$5:$AL$5="Mon")*($H$6:$AL$6="RH"),H60:AL60)+((SUMPRODUCT(($H$5:$AL$5="Tue")*($H$6:$AL$6="RH"),H60:AL60)+((SUMPRODUCT(($H$5:$AL$5="Wed")*($H$6:$AL$6="RH"),H60:AL60)+((SUMPRODUCT(($H$5:$AL$5="Thu")*($H$6:$AL$6="RH"),H60:AL60)+((SUMPRODUCT(($H$5:$AL$5="Fri")*($H$6:$AL$6="RH"),H60:AL60))))))))))))))))))))))))/2</f>
        <v>#VALUE!</v>
      </c>
      <c r="AS59" s="158">
        <f t="shared" ref="AS59" si="148">(SUMIF($H$6:$AL$6,"PH",H59:AL59)+SUMIF($H$6:$AL$6,"PH",H60:AL60))/2</f>
        <v>0</v>
      </c>
      <c r="AT59" s="154">
        <f t="shared" ref="AT59" si="149">ROUND(D59/8*AM59*1.5,2)</f>
        <v>0</v>
      </c>
      <c r="AU59" s="156">
        <f t="shared" ref="AU59" si="150">ROUND(D59/8*AN59*2,2)</f>
        <v>0</v>
      </c>
      <c r="AV59" s="160">
        <f t="shared" ref="AV59" si="151">ROUND(D59/8*AO59*3,2)</f>
        <v>0</v>
      </c>
      <c r="AW59" s="162" t="e">
        <f t="shared" ref="AW59" si="152">(D59*(AQ59+2*AR59+3*AS59))+AT59+AU59+AV59+AP59</f>
        <v>#VALUE!</v>
      </c>
    </row>
    <row r="60" spans="1:49" ht="15" thickBot="1">
      <c r="A60" s="165"/>
      <c r="B60" s="167"/>
      <c r="C60" s="167"/>
      <c r="D60" s="167"/>
      <c r="E60" s="167"/>
      <c r="F60" s="169"/>
      <c r="G60" s="27" t="s">
        <v>91</v>
      </c>
      <c r="H60" s="4"/>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6"/>
      <c r="AM60" s="171"/>
      <c r="AN60" s="173"/>
      <c r="AO60" s="175"/>
      <c r="AP60" s="153"/>
      <c r="AQ60" s="155"/>
      <c r="AR60" s="157"/>
      <c r="AS60" s="159"/>
      <c r="AT60" s="155"/>
      <c r="AU60" s="157"/>
      <c r="AV60" s="161"/>
      <c r="AW60" s="163"/>
    </row>
    <row r="61" spans="1:49">
      <c r="A61" s="164">
        <v>27</v>
      </c>
      <c r="B61" s="166"/>
      <c r="C61" s="166"/>
      <c r="D61" s="166"/>
      <c r="E61" s="166"/>
      <c r="F61" s="168"/>
      <c r="G61" s="23" t="s">
        <v>90</v>
      </c>
      <c r="H61" s="1"/>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3"/>
      <c r="AM61" s="170"/>
      <c r="AN61" s="172"/>
      <c r="AO61" s="174"/>
      <c r="AP61" s="152"/>
      <c r="AQ61" s="154" t="e">
        <f t="shared" ref="AQ61" si="153">((SUMPRODUCT(($H$5:$AL$5="Mon")*($H$6:$AL$6&lt;&gt;"PH")*($H$6:$AL$6&lt;&gt;"RH"),H61:AL61)+SUMPRODUCT(($H$5:$AL$5="Tue")*($H$6:$AL$6&lt;&gt;"PH")*($H$6:$AL$6&lt;&gt;"RH"),H61:AL61)+SUMPRODUCT(($H$5:$AL$5="Wed")*($H$6:$AL$6&lt;&gt;"PH")*($H$6:$AL$6&lt;&gt;"RH"),H61:AL61)+SUMPRODUCT(($H$5:$AL$5="Thu")*($H$6:$AL$6&lt;&gt;"PH")*($H$6:$AL$6&lt;&gt;"RH"),H61:AL61)+SUMPRODUCT(($H$5:$AL$5="Fri")*($H$6:$AL$6&lt;&gt;"PH")*($H$6:$AL$6&lt;&gt;"RH"),H61:AL61))+(SUMPRODUCT(($H$5:$AL$5="Mon")*($H$6:$AL$6&lt;&gt;"PH")*($H$6:$AL$6&lt;&gt;"RH"),H62:AL62)+SUMPRODUCT(($H$5:$AL$5="Tue")*($H$6:$AL$6&lt;&gt;"PH")*($H$6:$AL$6&lt;&gt;"RH"),H62:AL62)+SUMPRODUCT(($H$5:$AL$5="Wed")*($H$6:$AL$6&lt;&gt;"PH")*($H$6:$AL$6&lt;&gt;"RH"),H62:AL62)+SUMPRODUCT(($H$5:$AL$5="Thu")*($H$6:$AL$6&lt;&gt;"PH")*($H$6:$AL$6&lt;&gt;"RH"),H62:AL62)+SUMPRODUCT(($H$5:$AL$5="Fri")*($H$6:$AL$6&lt;&gt;"PH")*($H$6:$AL$6&lt;&gt;"RH"),H62:AL62)))/2</f>
        <v>#VALUE!</v>
      </c>
      <c r="AR61" s="156" t="e">
        <f>((SUMPRODUCT(($H$5:$AL$5="Sat")*($H$6:$AL$6&lt;&gt;"PH"),H61:AL61)+SUMPRODUCT(($H$5:$AL$5="Sun")*($H$6:$AL$6&lt;&gt;"PH"),H61:AL61)+((SUMPRODUCT(($H$5:$AL$5="Mon")*($H$6:$AL$6="RH"),H61:AL61)+((SUMPRODUCT(($H$5:$AL$5="Tue")*($H$6:$AL$6="RH"),H61:AL61)+((SUMPRODUCT(($H$5:$AL$5="Wed")*($H$6:$AL$6="RH"),H61:AL61)+((SUMPRODUCT(($H$5:$AL$5="Thu")*($H$6:$AL$6="RH"),H61:AL61)+((SUMPRODUCT(($H$5:$AL$5="Fri")*($H$6:$AL$6="RH"),H61:AL61)+(SUMPRODUCT(($H$5:$AL$5="Sat")*($H$6:$AL$6&lt;&gt;"PH"),H62:AL62)+SUMPRODUCT(($H$5:$AL$5="Sun")*($H$6:$AL$6&lt;&gt;"PH"),H62:AL62)+((SUMPRODUCT(($H$5:$AL$5="Mon")*($H$6:$AL$6="RH"),H62:AL62)+((SUMPRODUCT(($H$5:$AL$5="Tue")*($H$6:$AL$6="RH"),H62:AL62)+((SUMPRODUCT(($H$5:$AL$5="Wed")*($H$6:$AL$6="RH"),H62:AL62)+((SUMPRODUCT(($H$5:$AL$5="Thu")*($H$6:$AL$6="RH"),H62:AL62)+((SUMPRODUCT(($H$5:$AL$5="Fri")*($H$6:$AL$6="RH"),H62:AL62))))))))))))))))))))))))/2</f>
        <v>#VALUE!</v>
      </c>
      <c r="AS61" s="158">
        <f t="shared" ref="AS61" si="154">(SUMIF($H$6:$AL$6,"PH",H61:AL61)+SUMIF($H$6:$AL$6,"PH",H62:AL62))/2</f>
        <v>0</v>
      </c>
      <c r="AT61" s="154">
        <f t="shared" ref="AT61" si="155">ROUND(D61/8*AM61*1.5,2)</f>
        <v>0</v>
      </c>
      <c r="AU61" s="156">
        <f t="shared" ref="AU61" si="156">ROUND(D61/8*AN61*2,2)</f>
        <v>0</v>
      </c>
      <c r="AV61" s="160">
        <f t="shared" ref="AV61" si="157">ROUND(D61/8*AO61*3,2)</f>
        <v>0</v>
      </c>
      <c r="AW61" s="162" t="e">
        <f t="shared" ref="AW61" si="158">(D61*(AQ61+2*AR61+3*AS61))+AT61+AU61+AV61+AP61</f>
        <v>#VALUE!</v>
      </c>
    </row>
    <row r="62" spans="1:49" ht="15" thickBot="1">
      <c r="A62" s="165"/>
      <c r="B62" s="167"/>
      <c r="C62" s="167"/>
      <c r="D62" s="167"/>
      <c r="E62" s="167"/>
      <c r="F62" s="169"/>
      <c r="G62" s="27" t="s">
        <v>91</v>
      </c>
      <c r="H62" s="4"/>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6"/>
      <c r="AM62" s="171"/>
      <c r="AN62" s="173"/>
      <c r="AO62" s="175"/>
      <c r="AP62" s="153"/>
      <c r="AQ62" s="155"/>
      <c r="AR62" s="157"/>
      <c r="AS62" s="159"/>
      <c r="AT62" s="155"/>
      <c r="AU62" s="157"/>
      <c r="AV62" s="161"/>
      <c r="AW62" s="163"/>
    </row>
    <row r="63" spans="1:49">
      <c r="A63" s="164">
        <v>28</v>
      </c>
      <c r="B63" s="166"/>
      <c r="C63" s="166"/>
      <c r="D63" s="166"/>
      <c r="E63" s="166"/>
      <c r="F63" s="168"/>
      <c r="G63" s="23" t="s">
        <v>90</v>
      </c>
      <c r="H63" s="1"/>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3"/>
      <c r="AM63" s="170"/>
      <c r="AN63" s="172"/>
      <c r="AO63" s="174"/>
      <c r="AP63" s="152"/>
      <c r="AQ63" s="154" t="e">
        <f t="shared" ref="AQ63" si="159">((SUMPRODUCT(($H$5:$AL$5="Mon")*($H$6:$AL$6&lt;&gt;"PH")*($H$6:$AL$6&lt;&gt;"RH"),H63:AL63)+SUMPRODUCT(($H$5:$AL$5="Tue")*($H$6:$AL$6&lt;&gt;"PH")*($H$6:$AL$6&lt;&gt;"RH"),H63:AL63)+SUMPRODUCT(($H$5:$AL$5="Wed")*($H$6:$AL$6&lt;&gt;"PH")*($H$6:$AL$6&lt;&gt;"RH"),H63:AL63)+SUMPRODUCT(($H$5:$AL$5="Thu")*($H$6:$AL$6&lt;&gt;"PH")*($H$6:$AL$6&lt;&gt;"RH"),H63:AL63)+SUMPRODUCT(($H$5:$AL$5="Fri")*($H$6:$AL$6&lt;&gt;"PH")*($H$6:$AL$6&lt;&gt;"RH"),H63:AL63))+(SUMPRODUCT(($H$5:$AL$5="Mon")*($H$6:$AL$6&lt;&gt;"PH")*($H$6:$AL$6&lt;&gt;"RH"),H64:AL64)+SUMPRODUCT(($H$5:$AL$5="Tue")*($H$6:$AL$6&lt;&gt;"PH")*($H$6:$AL$6&lt;&gt;"RH"),H64:AL64)+SUMPRODUCT(($H$5:$AL$5="Wed")*($H$6:$AL$6&lt;&gt;"PH")*($H$6:$AL$6&lt;&gt;"RH"),H64:AL64)+SUMPRODUCT(($H$5:$AL$5="Thu")*($H$6:$AL$6&lt;&gt;"PH")*($H$6:$AL$6&lt;&gt;"RH"),H64:AL64)+SUMPRODUCT(($H$5:$AL$5="Fri")*($H$6:$AL$6&lt;&gt;"PH")*($H$6:$AL$6&lt;&gt;"RH"),H64:AL64)))/2</f>
        <v>#VALUE!</v>
      </c>
      <c r="AR63" s="156" t="e">
        <f>((SUMPRODUCT(($H$5:$AL$5="Sat")*($H$6:$AL$6&lt;&gt;"PH"),H63:AL63)+SUMPRODUCT(($H$5:$AL$5="Sun")*($H$6:$AL$6&lt;&gt;"PH"),H63:AL63)+((SUMPRODUCT(($H$5:$AL$5="Mon")*($H$6:$AL$6="RH"),H63:AL63)+((SUMPRODUCT(($H$5:$AL$5="Tue")*($H$6:$AL$6="RH"),H63:AL63)+((SUMPRODUCT(($H$5:$AL$5="Wed")*($H$6:$AL$6="RH"),H63:AL63)+((SUMPRODUCT(($H$5:$AL$5="Thu")*($H$6:$AL$6="RH"),H63:AL63)+((SUMPRODUCT(($H$5:$AL$5="Fri")*($H$6:$AL$6="RH"),H63:AL63)+(SUMPRODUCT(($H$5:$AL$5="Sat")*($H$6:$AL$6&lt;&gt;"PH"),H64:AL64)+SUMPRODUCT(($H$5:$AL$5="Sun")*($H$6:$AL$6&lt;&gt;"PH"),H64:AL64)+((SUMPRODUCT(($H$5:$AL$5="Mon")*($H$6:$AL$6="RH"),H64:AL64)+((SUMPRODUCT(($H$5:$AL$5="Tue")*($H$6:$AL$6="RH"),H64:AL64)+((SUMPRODUCT(($H$5:$AL$5="Wed")*($H$6:$AL$6="RH"),H64:AL64)+((SUMPRODUCT(($H$5:$AL$5="Thu")*($H$6:$AL$6="RH"),H64:AL64)+((SUMPRODUCT(($H$5:$AL$5="Fri")*($H$6:$AL$6="RH"),H64:AL64))))))))))))))))))))))))/2</f>
        <v>#VALUE!</v>
      </c>
      <c r="AS63" s="158">
        <f t="shared" ref="AS63" si="160">(SUMIF($H$6:$AL$6,"PH",H63:AL63)+SUMIF($H$6:$AL$6,"PH",H64:AL64))/2</f>
        <v>0</v>
      </c>
      <c r="AT63" s="154">
        <f t="shared" ref="AT63" si="161">ROUND(D63/8*AM63*1.5,2)</f>
        <v>0</v>
      </c>
      <c r="AU63" s="156">
        <f t="shared" ref="AU63" si="162">ROUND(D63/8*AN63*2,2)</f>
        <v>0</v>
      </c>
      <c r="AV63" s="160">
        <f t="shared" ref="AV63" si="163">ROUND(D63/8*AO63*3,2)</f>
        <v>0</v>
      </c>
      <c r="AW63" s="162" t="e">
        <f t="shared" ref="AW63" si="164">(D63*(AQ63+2*AR63+3*AS63))+AT63+AU63+AV63+AP63</f>
        <v>#VALUE!</v>
      </c>
    </row>
    <row r="64" spans="1:49" ht="15" thickBot="1">
      <c r="A64" s="165"/>
      <c r="B64" s="167"/>
      <c r="C64" s="167"/>
      <c r="D64" s="167"/>
      <c r="E64" s="167"/>
      <c r="F64" s="169"/>
      <c r="G64" s="27" t="s">
        <v>91</v>
      </c>
      <c r="H64" s="4"/>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6"/>
      <c r="AM64" s="171"/>
      <c r="AN64" s="173"/>
      <c r="AO64" s="175"/>
      <c r="AP64" s="153"/>
      <c r="AQ64" s="155"/>
      <c r="AR64" s="157"/>
      <c r="AS64" s="159"/>
      <c r="AT64" s="155"/>
      <c r="AU64" s="157"/>
      <c r="AV64" s="161"/>
      <c r="AW64" s="163"/>
    </row>
    <row r="65" spans="1:49">
      <c r="A65" s="164">
        <v>29</v>
      </c>
      <c r="B65" s="166"/>
      <c r="C65" s="166"/>
      <c r="D65" s="166"/>
      <c r="E65" s="166"/>
      <c r="F65" s="168"/>
      <c r="G65" s="23" t="s">
        <v>90</v>
      </c>
      <c r="H65" s="1"/>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3"/>
      <c r="AM65" s="170"/>
      <c r="AN65" s="172"/>
      <c r="AO65" s="174"/>
      <c r="AP65" s="152"/>
      <c r="AQ65" s="154" t="e">
        <f t="shared" ref="AQ65" si="165">((SUMPRODUCT(($H$5:$AL$5="Mon")*($H$6:$AL$6&lt;&gt;"PH")*($H$6:$AL$6&lt;&gt;"RH"),H65:AL65)+SUMPRODUCT(($H$5:$AL$5="Tue")*($H$6:$AL$6&lt;&gt;"PH")*($H$6:$AL$6&lt;&gt;"RH"),H65:AL65)+SUMPRODUCT(($H$5:$AL$5="Wed")*($H$6:$AL$6&lt;&gt;"PH")*($H$6:$AL$6&lt;&gt;"RH"),H65:AL65)+SUMPRODUCT(($H$5:$AL$5="Thu")*($H$6:$AL$6&lt;&gt;"PH")*($H$6:$AL$6&lt;&gt;"RH"),H65:AL65)+SUMPRODUCT(($H$5:$AL$5="Fri")*($H$6:$AL$6&lt;&gt;"PH")*($H$6:$AL$6&lt;&gt;"RH"),H65:AL65))+(SUMPRODUCT(($H$5:$AL$5="Mon")*($H$6:$AL$6&lt;&gt;"PH")*($H$6:$AL$6&lt;&gt;"RH"),H66:AL66)+SUMPRODUCT(($H$5:$AL$5="Tue")*($H$6:$AL$6&lt;&gt;"PH")*($H$6:$AL$6&lt;&gt;"RH"),H66:AL66)+SUMPRODUCT(($H$5:$AL$5="Wed")*($H$6:$AL$6&lt;&gt;"PH")*($H$6:$AL$6&lt;&gt;"RH"),H66:AL66)+SUMPRODUCT(($H$5:$AL$5="Thu")*($H$6:$AL$6&lt;&gt;"PH")*($H$6:$AL$6&lt;&gt;"RH"),H66:AL66)+SUMPRODUCT(($H$5:$AL$5="Fri")*($H$6:$AL$6&lt;&gt;"PH")*($H$6:$AL$6&lt;&gt;"RH"),H66:AL66)))/2</f>
        <v>#VALUE!</v>
      </c>
      <c r="AR65" s="156" t="e">
        <f>((SUMPRODUCT(($H$5:$AL$5="Sat")*($H$6:$AL$6&lt;&gt;"PH"),H65:AL65)+SUMPRODUCT(($H$5:$AL$5="Sun")*($H$6:$AL$6&lt;&gt;"PH"),H65:AL65)+((SUMPRODUCT(($H$5:$AL$5="Mon")*($H$6:$AL$6="RH"),H65:AL65)+((SUMPRODUCT(($H$5:$AL$5="Tue")*($H$6:$AL$6="RH"),H65:AL65)+((SUMPRODUCT(($H$5:$AL$5="Wed")*($H$6:$AL$6="RH"),H65:AL65)+((SUMPRODUCT(($H$5:$AL$5="Thu")*($H$6:$AL$6="RH"),H65:AL65)+((SUMPRODUCT(($H$5:$AL$5="Fri")*($H$6:$AL$6="RH"),H65:AL65)+(SUMPRODUCT(($H$5:$AL$5="Sat")*($H$6:$AL$6&lt;&gt;"PH"),H66:AL66)+SUMPRODUCT(($H$5:$AL$5="Sun")*($H$6:$AL$6&lt;&gt;"PH"),H66:AL66)+((SUMPRODUCT(($H$5:$AL$5="Mon")*($H$6:$AL$6="RH"),H66:AL66)+((SUMPRODUCT(($H$5:$AL$5="Tue")*($H$6:$AL$6="RH"),H66:AL66)+((SUMPRODUCT(($H$5:$AL$5="Wed")*($H$6:$AL$6="RH"),H66:AL66)+((SUMPRODUCT(($H$5:$AL$5="Thu")*($H$6:$AL$6="RH"),H66:AL66)+((SUMPRODUCT(($H$5:$AL$5="Fri")*($H$6:$AL$6="RH"),H66:AL66))))))))))))))))))))))))/2</f>
        <v>#VALUE!</v>
      </c>
      <c r="AS65" s="158">
        <f t="shared" ref="AS65" si="166">(SUMIF($H$6:$AL$6,"PH",H65:AL65)+SUMIF($H$6:$AL$6,"PH",H66:AL66))/2</f>
        <v>0</v>
      </c>
      <c r="AT65" s="154">
        <f t="shared" ref="AT65" si="167">ROUND(D65/8*AM65*1.5,2)</f>
        <v>0</v>
      </c>
      <c r="AU65" s="156">
        <f t="shared" ref="AU65" si="168">ROUND(D65/8*AN65*2,2)</f>
        <v>0</v>
      </c>
      <c r="AV65" s="160">
        <f t="shared" ref="AV65" si="169">ROUND(D65/8*AO65*3,2)</f>
        <v>0</v>
      </c>
      <c r="AW65" s="162" t="e">
        <f t="shared" ref="AW65" si="170">(D65*(AQ65+2*AR65+3*AS65))+AT65+AU65+AV65+AP65</f>
        <v>#VALUE!</v>
      </c>
    </row>
    <row r="66" spans="1:49" ht="15" thickBot="1">
      <c r="A66" s="165"/>
      <c r="B66" s="167"/>
      <c r="C66" s="167"/>
      <c r="D66" s="167"/>
      <c r="E66" s="167"/>
      <c r="F66" s="169"/>
      <c r="G66" s="27" t="s">
        <v>91</v>
      </c>
      <c r="H66" s="4"/>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6"/>
      <c r="AM66" s="171"/>
      <c r="AN66" s="173"/>
      <c r="AO66" s="175"/>
      <c r="AP66" s="153"/>
      <c r="AQ66" s="155"/>
      <c r="AR66" s="157"/>
      <c r="AS66" s="159"/>
      <c r="AT66" s="155"/>
      <c r="AU66" s="157"/>
      <c r="AV66" s="161"/>
      <c r="AW66" s="163"/>
    </row>
    <row r="67" spans="1:49">
      <c r="A67" s="164">
        <v>30</v>
      </c>
      <c r="B67" s="166"/>
      <c r="C67" s="166"/>
      <c r="D67" s="166"/>
      <c r="E67" s="166"/>
      <c r="F67" s="168"/>
      <c r="G67" s="23" t="s">
        <v>90</v>
      </c>
      <c r="H67" s="1"/>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3"/>
      <c r="AM67" s="170"/>
      <c r="AN67" s="172"/>
      <c r="AO67" s="174"/>
      <c r="AP67" s="152"/>
      <c r="AQ67" s="154" t="e">
        <f t="shared" ref="AQ67" si="171">((SUMPRODUCT(($H$5:$AL$5="Mon")*($H$6:$AL$6&lt;&gt;"PH")*($H$6:$AL$6&lt;&gt;"RH"),H67:AL67)+SUMPRODUCT(($H$5:$AL$5="Tue")*($H$6:$AL$6&lt;&gt;"PH")*($H$6:$AL$6&lt;&gt;"RH"),H67:AL67)+SUMPRODUCT(($H$5:$AL$5="Wed")*($H$6:$AL$6&lt;&gt;"PH")*($H$6:$AL$6&lt;&gt;"RH"),H67:AL67)+SUMPRODUCT(($H$5:$AL$5="Thu")*($H$6:$AL$6&lt;&gt;"PH")*($H$6:$AL$6&lt;&gt;"RH"),H67:AL67)+SUMPRODUCT(($H$5:$AL$5="Fri")*($H$6:$AL$6&lt;&gt;"PH")*($H$6:$AL$6&lt;&gt;"RH"),H67:AL67))+(SUMPRODUCT(($H$5:$AL$5="Mon")*($H$6:$AL$6&lt;&gt;"PH")*($H$6:$AL$6&lt;&gt;"RH"),H68:AL68)+SUMPRODUCT(($H$5:$AL$5="Tue")*($H$6:$AL$6&lt;&gt;"PH")*($H$6:$AL$6&lt;&gt;"RH"),H68:AL68)+SUMPRODUCT(($H$5:$AL$5="Wed")*($H$6:$AL$6&lt;&gt;"PH")*($H$6:$AL$6&lt;&gt;"RH"),H68:AL68)+SUMPRODUCT(($H$5:$AL$5="Thu")*($H$6:$AL$6&lt;&gt;"PH")*($H$6:$AL$6&lt;&gt;"RH"),H68:AL68)+SUMPRODUCT(($H$5:$AL$5="Fri")*($H$6:$AL$6&lt;&gt;"PH")*($H$6:$AL$6&lt;&gt;"RH"),H68:AL68)))/2</f>
        <v>#VALUE!</v>
      </c>
      <c r="AR67" s="156" t="e">
        <f>((SUMPRODUCT(($H$5:$AL$5="Sat")*($H$6:$AL$6&lt;&gt;"PH"),H67:AL67)+SUMPRODUCT(($H$5:$AL$5="Sun")*($H$6:$AL$6&lt;&gt;"PH"),H67:AL67)+((SUMPRODUCT(($H$5:$AL$5="Mon")*($H$6:$AL$6="RH"),H67:AL67)+((SUMPRODUCT(($H$5:$AL$5="Tue")*($H$6:$AL$6="RH"),H67:AL67)+((SUMPRODUCT(($H$5:$AL$5="Wed")*($H$6:$AL$6="RH"),H67:AL67)+((SUMPRODUCT(($H$5:$AL$5="Thu")*($H$6:$AL$6="RH"),H67:AL67)+((SUMPRODUCT(($H$5:$AL$5="Fri")*($H$6:$AL$6="RH"),H67:AL67)+(SUMPRODUCT(($H$5:$AL$5="Sat")*($H$6:$AL$6&lt;&gt;"PH"),H68:AL68)+SUMPRODUCT(($H$5:$AL$5="Sun")*($H$6:$AL$6&lt;&gt;"PH"),H68:AL68)+((SUMPRODUCT(($H$5:$AL$5="Mon")*($H$6:$AL$6="RH"),H68:AL68)+((SUMPRODUCT(($H$5:$AL$5="Tue")*($H$6:$AL$6="RH"),H68:AL68)+((SUMPRODUCT(($H$5:$AL$5="Wed")*($H$6:$AL$6="RH"),H68:AL68)+((SUMPRODUCT(($H$5:$AL$5="Thu")*($H$6:$AL$6="RH"),H68:AL68)+((SUMPRODUCT(($H$5:$AL$5="Fri")*($H$6:$AL$6="RH"),H68:AL68))))))))))))))))))))))))/2</f>
        <v>#VALUE!</v>
      </c>
      <c r="AS67" s="158">
        <f t="shared" ref="AS67" si="172">(SUMIF($H$6:$AL$6,"PH",H67:AL67)+SUMIF($H$6:$AL$6,"PH",H68:AL68))/2</f>
        <v>0</v>
      </c>
      <c r="AT67" s="154">
        <f t="shared" ref="AT67" si="173">ROUND(D67/8*AM67*1.5,2)</f>
        <v>0</v>
      </c>
      <c r="AU67" s="156">
        <f t="shared" ref="AU67" si="174">ROUND(D67/8*AN67*2,2)</f>
        <v>0</v>
      </c>
      <c r="AV67" s="160">
        <f t="shared" ref="AV67" si="175">ROUND(D67/8*AO67*3,2)</f>
        <v>0</v>
      </c>
      <c r="AW67" s="162" t="e">
        <f t="shared" ref="AW67" si="176">(D67*(AQ67+2*AR67+3*AS67))+AT67+AU67+AV67+AP67</f>
        <v>#VALUE!</v>
      </c>
    </row>
    <row r="68" spans="1:49" ht="15" thickBot="1">
      <c r="A68" s="165"/>
      <c r="B68" s="167"/>
      <c r="C68" s="167"/>
      <c r="D68" s="167"/>
      <c r="E68" s="167"/>
      <c r="F68" s="169"/>
      <c r="G68" s="27" t="s">
        <v>91</v>
      </c>
      <c r="H68" s="4"/>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6"/>
      <c r="AM68" s="171"/>
      <c r="AN68" s="173"/>
      <c r="AO68" s="175"/>
      <c r="AP68" s="153"/>
      <c r="AQ68" s="155"/>
      <c r="AR68" s="157"/>
      <c r="AS68" s="159"/>
      <c r="AT68" s="155"/>
      <c r="AU68" s="157"/>
      <c r="AV68" s="161"/>
      <c r="AW68" s="163"/>
    </row>
  </sheetData>
  <sheetProtection algorithmName="SHA-512" hashValue="bs+GIRIkEIFaH/7G/fUWbaTU+/uTunaEsZoWNY3pS1hJEwnUPBXucgvLjl0TAKavQcv6xDgsC/VnfiysTvKZDA==" saltValue="DcLIRk80sSDuZFUoS7EESQ==" spinCount="100000" sheet="1" insertRows="0" autoFilter="0"/>
  <autoFilter ref="A6:AX6" xr:uid="{A1C77DC3-2599-4F87-9016-979FCBD8466A}"/>
  <mergeCells count="543">
    <mergeCell ref="AT65:AT66"/>
    <mergeCell ref="AU65:AU66"/>
    <mergeCell ref="AV65:AV66"/>
    <mergeCell ref="AT17:AT18"/>
    <mergeCell ref="AU17:AU18"/>
    <mergeCell ref="AV17:AV18"/>
    <mergeCell ref="AT19:AT20"/>
    <mergeCell ref="AT61:AT62"/>
    <mergeCell ref="AU61:AU62"/>
    <mergeCell ref="AV61:AV62"/>
    <mergeCell ref="AT63:AT64"/>
    <mergeCell ref="AU63:AU64"/>
    <mergeCell ref="AV63:AV64"/>
    <mergeCell ref="C7:C8"/>
    <mergeCell ref="AT7:AT8"/>
    <mergeCell ref="AT4:AV4"/>
    <mergeCell ref="AT5:AT6"/>
    <mergeCell ref="AU5:AU6"/>
    <mergeCell ref="AV5:AV6"/>
    <mergeCell ref="AU7:AU8"/>
    <mergeCell ref="AV7:AV8"/>
    <mergeCell ref="AT9:AT10"/>
    <mergeCell ref="AU9:AU10"/>
    <mergeCell ref="AV9:AV10"/>
    <mergeCell ref="E7:E8"/>
    <mergeCell ref="F9:F10"/>
    <mergeCell ref="C9:C10"/>
    <mergeCell ref="D9:D10"/>
    <mergeCell ref="AM9:AM10"/>
    <mergeCell ref="D7:D8"/>
    <mergeCell ref="AQ7:AQ8"/>
    <mergeCell ref="F7:F8"/>
    <mergeCell ref="E9:E10"/>
    <mergeCell ref="AM11:AM12"/>
    <mergeCell ref="AM13:AM14"/>
    <mergeCell ref="AM15:AM16"/>
    <mergeCell ref="E65:E66"/>
    <mergeCell ref="F65:F66"/>
    <mergeCell ref="E17:E18"/>
    <mergeCell ref="F17:F18"/>
    <mergeCell ref="E19:E20"/>
    <mergeCell ref="F19:F20"/>
    <mergeCell ref="E21:E22"/>
    <mergeCell ref="F21:F22"/>
    <mergeCell ref="F11:F12"/>
    <mergeCell ref="E13:E14"/>
    <mergeCell ref="F13:F14"/>
    <mergeCell ref="E15:E16"/>
    <mergeCell ref="F15:F16"/>
    <mergeCell ref="E61:E62"/>
    <mergeCell ref="F61:F62"/>
    <mergeCell ref="E63:E64"/>
    <mergeCell ref="F63:F64"/>
    <mergeCell ref="E11:E12"/>
    <mergeCell ref="AQ11:AQ12"/>
    <mergeCell ref="AR11:AR12"/>
    <mergeCell ref="AS11:AS12"/>
    <mergeCell ref="AQ13:AQ14"/>
    <mergeCell ref="AR13:AR14"/>
    <mergeCell ref="AS13:AS14"/>
    <mergeCell ref="AS7:AS8"/>
    <mergeCell ref="AQ9:AQ10"/>
    <mergeCell ref="AR9:AR10"/>
    <mergeCell ref="AW4:AW6"/>
    <mergeCell ref="AR17:AR18"/>
    <mergeCell ref="AR15:AR16"/>
    <mergeCell ref="AR7:AR8"/>
    <mergeCell ref="AS15:AS16"/>
    <mergeCell ref="AW7:AW8"/>
    <mergeCell ref="AW9:AW10"/>
    <mergeCell ref="AW11:AW12"/>
    <mergeCell ref="AW13:AW14"/>
    <mergeCell ref="AW15:AW16"/>
    <mergeCell ref="AS17:AS18"/>
    <mergeCell ref="AW17:AW18"/>
    <mergeCell ref="AT11:AT12"/>
    <mergeCell ref="AU11:AU12"/>
    <mergeCell ref="AV11:AV12"/>
    <mergeCell ref="AT13:AT14"/>
    <mergeCell ref="AU13:AU14"/>
    <mergeCell ref="AV13:AV14"/>
    <mergeCell ref="AT15:AT16"/>
    <mergeCell ref="AU15:AU16"/>
    <mergeCell ref="AV15:AV16"/>
    <mergeCell ref="A15:A16"/>
    <mergeCell ref="A17:A18"/>
    <mergeCell ref="A2:B2"/>
    <mergeCell ref="A19:A20"/>
    <mergeCell ref="B19:B20"/>
    <mergeCell ref="A7:A8"/>
    <mergeCell ref="A9:A10"/>
    <mergeCell ref="A11:A12"/>
    <mergeCell ref="A13:A14"/>
    <mergeCell ref="B15:B16"/>
    <mergeCell ref="B7:B8"/>
    <mergeCell ref="B11:B12"/>
    <mergeCell ref="B9:B10"/>
    <mergeCell ref="B17:B18"/>
    <mergeCell ref="B13:B14"/>
    <mergeCell ref="AR21:AR22"/>
    <mergeCell ref="AS21:AS22"/>
    <mergeCell ref="AW21:AW22"/>
    <mergeCell ref="C19:C20"/>
    <mergeCell ref="D19:D20"/>
    <mergeCell ref="AM19:AM20"/>
    <mergeCell ref="AM21:AM22"/>
    <mergeCell ref="AO19:AO20"/>
    <mergeCell ref="AO21:AO22"/>
    <mergeCell ref="AU19:AU20"/>
    <mergeCell ref="AV19:AV20"/>
    <mergeCell ref="AT21:AT22"/>
    <mergeCell ref="AU21:AU22"/>
    <mergeCell ref="AV21:AV22"/>
    <mergeCell ref="AQ19:AQ20"/>
    <mergeCell ref="AR19:AR20"/>
    <mergeCell ref="AS19:AS20"/>
    <mergeCell ref="AN19:AN20"/>
    <mergeCell ref="AN21:AN22"/>
    <mergeCell ref="AW65:AW66"/>
    <mergeCell ref="G4:G5"/>
    <mergeCell ref="A65:A66"/>
    <mergeCell ref="B65:B66"/>
    <mergeCell ref="C65:C66"/>
    <mergeCell ref="D65:D66"/>
    <mergeCell ref="AQ65:AQ66"/>
    <mergeCell ref="AR61:AR62"/>
    <mergeCell ref="AS61:AS62"/>
    <mergeCell ref="AW61:AW62"/>
    <mergeCell ref="A63:A64"/>
    <mergeCell ref="B63:B64"/>
    <mergeCell ref="C63:C64"/>
    <mergeCell ref="D63:D64"/>
    <mergeCell ref="AQ63:AQ64"/>
    <mergeCell ref="AR63:AR64"/>
    <mergeCell ref="AS63:AS64"/>
    <mergeCell ref="AW63:AW64"/>
    <mergeCell ref="A61:A62"/>
    <mergeCell ref="B61:B62"/>
    <mergeCell ref="C61:C62"/>
    <mergeCell ref="AW19:AW20"/>
    <mergeCell ref="A21:A22"/>
    <mergeCell ref="B21:B22"/>
    <mergeCell ref="D61:D62"/>
    <mergeCell ref="AQ61:AQ62"/>
    <mergeCell ref="AP15:AP16"/>
    <mergeCell ref="AP17:AP18"/>
    <mergeCell ref="AP19:AP20"/>
    <mergeCell ref="AP21:AP22"/>
    <mergeCell ref="AP61:AP62"/>
    <mergeCell ref="AP63:AP64"/>
    <mergeCell ref="AP65:AP66"/>
    <mergeCell ref="AO61:AO62"/>
    <mergeCell ref="AO63:AO64"/>
    <mergeCell ref="AO17:AO18"/>
    <mergeCell ref="AM65:AM66"/>
    <mergeCell ref="AN15:AN16"/>
    <mergeCell ref="AN17:AN18"/>
    <mergeCell ref="AN61:AN62"/>
    <mergeCell ref="AN63:AN64"/>
    <mergeCell ref="AN65:AN66"/>
    <mergeCell ref="AM61:AM62"/>
    <mergeCell ref="AM63:AM64"/>
    <mergeCell ref="AO65:AO66"/>
    <mergeCell ref="AP23:AP24"/>
    <mergeCell ref="AQ23:AQ24"/>
    <mergeCell ref="AP27:AP28"/>
    <mergeCell ref="AR65:AR66"/>
    <mergeCell ref="AQ5:AQ6"/>
    <mergeCell ref="AQ4:AS4"/>
    <mergeCell ref="AR5:AR6"/>
    <mergeCell ref="AS5:AS6"/>
    <mergeCell ref="AS9:AS10"/>
    <mergeCell ref="AM5:AM6"/>
    <mergeCell ref="AN5:AN6"/>
    <mergeCell ref="AO5:AO6"/>
    <mergeCell ref="AM4:AO4"/>
    <mergeCell ref="AP7:AP8"/>
    <mergeCell ref="AP9:AP10"/>
    <mergeCell ref="AP11:AP12"/>
    <mergeCell ref="AP13:AP14"/>
    <mergeCell ref="AQ17:AQ18"/>
    <mergeCell ref="AQ15:AQ16"/>
    <mergeCell ref="AS65:AS66"/>
    <mergeCell ref="AN9:AN10"/>
    <mergeCell ref="AN11:AN12"/>
    <mergeCell ref="AN13:AN14"/>
    <mergeCell ref="AM7:AM8"/>
    <mergeCell ref="AN7:AN8"/>
    <mergeCell ref="AO7:AO8"/>
    <mergeCell ref="AQ21:AQ22"/>
    <mergeCell ref="B23:B24"/>
    <mergeCell ref="C23:C24"/>
    <mergeCell ref="D23:D24"/>
    <mergeCell ref="E23:E24"/>
    <mergeCell ref="F23:F24"/>
    <mergeCell ref="AM23:AM24"/>
    <mergeCell ref="AN23:AN24"/>
    <mergeCell ref="AO23:AO24"/>
    <mergeCell ref="H2:AL2"/>
    <mergeCell ref="C21:C22"/>
    <mergeCell ref="D21:D22"/>
    <mergeCell ref="AM17:AM18"/>
    <mergeCell ref="AO9:AO10"/>
    <mergeCell ref="AO11:AO12"/>
    <mergeCell ref="AO13:AO14"/>
    <mergeCell ref="AO15:AO16"/>
    <mergeCell ref="C15:C16"/>
    <mergeCell ref="D15:D16"/>
    <mergeCell ref="C17:C18"/>
    <mergeCell ref="D17:D18"/>
    <mergeCell ref="C11:C12"/>
    <mergeCell ref="D11:D12"/>
    <mergeCell ref="C13:C14"/>
    <mergeCell ref="D13:D14"/>
    <mergeCell ref="AR23:AR24"/>
    <mergeCell ref="AS23:AS24"/>
    <mergeCell ref="AT23:AT24"/>
    <mergeCell ref="AU23:AU24"/>
    <mergeCell ref="AV23:AV24"/>
    <mergeCell ref="AW23:AW24"/>
    <mergeCell ref="A25:A26"/>
    <mergeCell ref="B25:B26"/>
    <mergeCell ref="C25:C26"/>
    <mergeCell ref="D25:D26"/>
    <mergeCell ref="E25:E26"/>
    <mergeCell ref="F25:F26"/>
    <mergeCell ref="AM25:AM26"/>
    <mergeCell ref="AN25:AN26"/>
    <mergeCell ref="AO25:AO26"/>
    <mergeCell ref="AP25:AP26"/>
    <mergeCell ref="AQ25:AQ26"/>
    <mergeCell ref="AR25:AR26"/>
    <mergeCell ref="AS25:AS26"/>
    <mergeCell ref="AT25:AT26"/>
    <mergeCell ref="AU25:AU26"/>
    <mergeCell ref="AV25:AV26"/>
    <mergeCell ref="AW25:AW26"/>
    <mergeCell ref="A23:A24"/>
    <mergeCell ref="A27:A28"/>
    <mergeCell ref="B27:B28"/>
    <mergeCell ref="C27:C28"/>
    <mergeCell ref="D27:D28"/>
    <mergeCell ref="E27:E28"/>
    <mergeCell ref="F27:F28"/>
    <mergeCell ref="AM27:AM28"/>
    <mergeCell ref="AN27:AN28"/>
    <mergeCell ref="AO27:AO28"/>
    <mergeCell ref="AQ27:AQ28"/>
    <mergeCell ref="AR27:AR28"/>
    <mergeCell ref="AS27:AS28"/>
    <mergeCell ref="AT27:AT28"/>
    <mergeCell ref="AU27:AU28"/>
    <mergeCell ref="AV27:AV28"/>
    <mergeCell ref="AW27:AW28"/>
    <mergeCell ref="A29:A30"/>
    <mergeCell ref="B29:B30"/>
    <mergeCell ref="C29:C30"/>
    <mergeCell ref="D29:D30"/>
    <mergeCell ref="E29:E30"/>
    <mergeCell ref="F29:F30"/>
    <mergeCell ref="AM29:AM30"/>
    <mergeCell ref="AN29:AN30"/>
    <mergeCell ref="AO29:AO30"/>
    <mergeCell ref="AP29:AP30"/>
    <mergeCell ref="AQ29:AQ30"/>
    <mergeCell ref="AR29:AR30"/>
    <mergeCell ref="AS29:AS30"/>
    <mergeCell ref="AT29:AT30"/>
    <mergeCell ref="AU29:AU30"/>
    <mergeCell ref="AV29:AV30"/>
    <mergeCell ref="AW29:AW30"/>
    <mergeCell ref="A31:A32"/>
    <mergeCell ref="B31:B32"/>
    <mergeCell ref="C31:C32"/>
    <mergeCell ref="D31:D32"/>
    <mergeCell ref="E31:E32"/>
    <mergeCell ref="F31:F32"/>
    <mergeCell ref="AM31:AM32"/>
    <mergeCell ref="AN31:AN32"/>
    <mergeCell ref="AO31:AO32"/>
    <mergeCell ref="AP31:AP32"/>
    <mergeCell ref="AQ31:AQ32"/>
    <mergeCell ref="AR31:AR32"/>
    <mergeCell ref="AS31:AS32"/>
    <mergeCell ref="AT31:AT32"/>
    <mergeCell ref="AU31:AU32"/>
    <mergeCell ref="AV31:AV32"/>
    <mergeCell ref="AW31:AW32"/>
    <mergeCell ref="A33:A34"/>
    <mergeCell ref="B33:B34"/>
    <mergeCell ref="C33:C34"/>
    <mergeCell ref="D33:D34"/>
    <mergeCell ref="E33:E34"/>
    <mergeCell ref="F33:F34"/>
    <mergeCell ref="AM33:AM34"/>
    <mergeCell ref="AN33:AN34"/>
    <mergeCell ref="AO33:AO34"/>
    <mergeCell ref="AP33:AP34"/>
    <mergeCell ref="AQ33:AQ34"/>
    <mergeCell ref="AR33:AR34"/>
    <mergeCell ref="AS33:AS34"/>
    <mergeCell ref="AT33:AT34"/>
    <mergeCell ref="AU33:AU34"/>
    <mergeCell ref="AV33:AV34"/>
    <mergeCell ref="AW33:AW34"/>
    <mergeCell ref="A35:A36"/>
    <mergeCell ref="B35:B36"/>
    <mergeCell ref="C35:C36"/>
    <mergeCell ref="D35:D36"/>
    <mergeCell ref="E35:E36"/>
    <mergeCell ref="F35:F36"/>
    <mergeCell ref="AM35:AM36"/>
    <mergeCell ref="AN35:AN36"/>
    <mergeCell ref="AO35:AO36"/>
    <mergeCell ref="AP35:AP36"/>
    <mergeCell ref="AQ35:AQ36"/>
    <mergeCell ref="AR35:AR36"/>
    <mergeCell ref="AS35:AS36"/>
    <mergeCell ref="AT35:AT36"/>
    <mergeCell ref="AU35:AU36"/>
    <mergeCell ref="AV35:AV36"/>
    <mergeCell ref="AW35:AW36"/>
    <mergeCell ref="A37:A38"/>
    <mergeCell ref="B37:B38"/>
    <mergeCell ref="C37:C38"/>
    <mergeCell ref="D37:D38"/>
    <mergeCell ref="E37:E38"/>
    <mergeCell ref="F37:F38"/>
    <mergeCell ref="AM37:AM38"/>
    <mergeCell ref="AN37:AN38"/>
    <mergeCell ref="AO37:AO38"/>
    <mergeCell ref="AP37:AP38"/>
    <mergeCell ref="AQ37:AQ38"/>
    <mergeCell ref="AR37:AR38"/>
    <mergeCell ref="AS37:AS38"/>
    <mergeCell ref="AT37:AT38"/>
    <mergeCell ref="AU37:AU38"/>
    <mergeCell ref="AV37:AV38"/>
    <mergeCell ref="AW37:AW38"/>
    <mergeCell ref="A39:A40"/>
    <mergeCell ref="B39:B40"/>
    <mergeCell ref="C39:C40"/>
    <mergeCell ref="D39:D40"/>
    <mergeCell ref="E39:E40"/>
    <mergeCell ref="F39:F40"/>
    <mergeCell ref="AM39:AM40"/>
    <mergeCell ref="AN39:AN40"/>
    <mergeCell ref="AO39:AO40"/>
    <mergeCell ref="AP39:AP40"/>
    <mergeCell ref="AQ39:AQ40"/>
    <mergeCell ref="AR39:AR40"/>
    <mergeCell ref="AS39:AS40"/>
    <mergeCell ref="AT39:AT40"/>
    <mergeCell ref="AU39:AU40"/>
    <mergeCell ref="AV39:AV40"/>
    <mergeCell ref="AW39:AW40"/>
    <mergeCell ref="A41:A42"/>
    <mergeCell ref="B41:B42"/>
    <mergeCell ref="C41:C42"/>
    <mergeCell ref="D41:D42"/>
    <mergeCell ref="E41:E42"/>
    <mergeCell ref="F41:F42"/>
    <mergeCell ref="AM41:AM42"/>
    <mergeCell ref="AN41:AN42"/>
    <mergeCell ref="AO41:AO42"/>
    <mergeCell ref="AP41:AP42"/>
    <mergeCell ref="AQ41:AQ42"/>
    <mergeCell ref="AR41:AR42"/>
    <mergeCell ref="AS41:AS42"/>
    <mergeCell ref="AT41:AT42"/>
    <mergeCell ref="AU41:AU42"/>
    <mergeCell ref="AV41:AV42"/>
    <mergeCell ref="AW41:AW42"/>
    <mergeCell ref="A43:A44"/>
    <mergeCell ref="B43:B44"/>
    <mergeCell ref="C43:C44"/>
    <mergeCell ref="D43:D44"/>
    <mergeCell ref="E43:E44"/>
    <mergeCell ref="F43:F44"/>
    <mergeCell ref="AM43:AM44"/>
    <mergeCell ref="AN43:AN44"/>
    <mergeCell ref="AO43:AO44"/>
    <mergeCell ref="AP43:AP44"/>
    <mergeCell ref="AQ43:AQ44"/>
    <mergeCell ref="AR43:AR44"/>
    <mergeCell ref="AS43:AS44"/>
    <mergeCell ref="AT43:AT44"/>
    <mergeCell ref="AU43:AU44"/>
    <mergeCell ref="AV43:AV44"/>
    <mergeCell ref="AW43:AW44"/>
    <mergeCell ref="A45:A46"/>
    <mergeCell ref="B45:B46"/>
    <mergeCell ref="C45:C46"/>
    <mergeCell ref="D45:D46"/>
    <mergeCell ref="E45:E46"/>
    <mergeCell ref="F45:F46"/>
    <mergeCell ref="AM45:AM46"/>
    <mergeCell ref="AN45:AN46"/>
    <mergeCell ref="AO45:AO46"/>
    <mergeCell ref="AP45:AP46"/>
    <mergeCell ref="AQ45:AQ46"/>
    <mergeCell ref="AR45:AR46"/>
    <mergeCell ref="AS45:AS46"/>
    <mergeCell ref="AT45:AT46"/>
    <mergeCell ref="AU45:AU46"/>
    <mergeCell ref="AV45:AV46"/>
    <mergeCell ref="AW45:AW46"/>
    <mergeCell ref="A47:A48"/>
    <mergeCell ref="B47:B48"/>
    <mergeCell ref="C47:C48"/>
    <mergeCell ref="D47:D48"/>
    <mergeCell ref="E47:E48"/>
    <mergeCell ref="F47:F48"/>
    <mergeCell ref="AM47:AM48"/>
    <mergeCell ref="AN47:AN48"/>
    <mergeCell ref="AO47:AO48"/>
    <mergeCell ref="AP47:AP48"/>
    <mergeCell ref="AQ47:AQ48"/>
    <mergeCell ref="AR47:AR48"/>
    <mergeCell ref="AS47:AS48"/>
    <mergeCell ref="AT47:AT48"/>
    <mergeCell ref="AU47:AU48"/>
    <mergeCell ref="AV47:AV48"/>
    <mergeCell ref="AW47:AW48"/>
    <mergeCell ref="A49:A50"/>
    <mergeCell ref="B49:B50"/>
    <mergeCell ref="C49:C50"/>
    <mergeCell ref="D49:D50"/>
    <mergeCell ref="E49:E50"/>
    <mergeCell ref="F49:F50"/>
    <mergeCell ref="AM49:AM50"/>
    <mergeCell ref="AN49:AN50"/>
    <mergeCell ref="AO49:AO50"/>
    <mergeCell ref="AP49:AP50"/>
    <mergeCell ref="AQ49:AQ50"/>
    <mergeCell ref="AR49:AR50"/>
    <mergeCell ref="AS49:AS50"/>
    <mergeCell ref="AT49:AT50"/>
    <mergeCell ref="AU49:AU50"/>
    <mergeCell ref="AV49:AV50"/>
    <mergeCell ref="AW49:AW50"/>
    <mergeCell ref="A51:A52"/>
    <mergeCell ref="B51:B52"/>
    <mergeCell ref="C51:C52"/>
    <mergeCell ref="D51:D52"/>
    <mergeCell ref="E51:E52"/>
    <mergeCell ref="F51:F52"/>
    <mergeCell ref="AM51:AM52"/>
    <mergeCell ref="AN51:AN52"/>
    <mergeCell ref="AO51:AO52"/>
    <mergeCell ref="AP51:AP52"/>
    <mergeCell ref="AQ51:AQ52"/>
    <mergeCell ref="AR51:AR52"/>
    <mergeCell ref="AS51:AS52"/>
    <mergeCell ref="AT51:AT52"/>
    <mergeCell ref="AU51:AU52"/>
    <mergeCell ref="AV51:AV52"/>
    <mergeCell ref="AW51:AW52"/>
    <mergeCell ref="A53:A54"/>
    <mergeCell ref="B53:B54"/>
    <mergeCell ref="C53:C54"/>
    <mergeCell ref="D53:D54"/>
    <mergeCell ref="E53:E54"/>
    <mergeCell ref="F53:F54"/>
    <mergeCell ref="AM53:AM54"/>
    <mergeCell ref="AN53:AN54"/>
    <mergeCell ref="AO53:AO54"/>
    <mergeCell ref="AP53:AP54"/>
    <mergeCell ref="AQ53:AQ54"/>
    <mergeCell ref="AR53:AR54"/>
    <mergeCell ref="AS53:AS54"/>
    <mergeCell ref="AT53:AT54"/>
    <mergeCell ref="AU53:AU54"/>
    <mergeCell ref="AV53:AV54"/>
    <mergeCell ref="AW53:AW54"/>
    <mergeCell ref="A55:A56"/>
    <mergeCell ref="B55:B56"/>
    <mergeCell ref="C55:C56"/>
    <mergeCell ref="D55:D56"/>
    <mergeCell ref="E55:E56"/>
    <mergeCell ref="F55:F56"/>
    <mergeCell ref="AM55:AM56"/>
    <mergeCell ref="AN55:AN56"/>
    <mergeCell ref="AO55:AO56"/>
    <mergeCell ref="AP55:AP56"/>
    <mergeCell ref="AQ55:AQ56"/>
    <mergeCell ref="AR55:AR56"/>
    <mergeCell ref="AS55:AS56"/>
    <mergeCell ref="AT55:AT56"/>
    <mergeCell ref="AU55:AU56"/>
    <mergeCell ref="AV55:AV56"/>
    <mergeCell ref="AW55:AW56"/>
    <mergeCell ref="A57:A58"/>
    <mergeCell ref="B57:B58"/>
    <mergeCell ref="C57:C58"/>
    <mergeCell ref="D57:D58"/>
    <mergeCell ref="E57:E58"/>
    <mergeCell ref="F57:F58"/>
    <mergeCell ref="AM57:AM58"/>
    <mergeCell ref="AN57:AN58"/>
    <mergeCell ref="AO57:AO58"/>
    <mergeCell ref="AP57:AP58"/>
    <mergeCell ref="AQ57:AQ58"/>
    <mergeCell ref="AR57:AR58"/>
    <mergeCell ref="AS57:AS58"/>
    <mergeCell ref="AT57:AT58"/>
    <mergeCell ref="AU57:AU58"/>
    <mergeCell ref="AV57:AV58"/>
    <mergeCell ref="AW57:AW58"/>
    <mergeCell ref="A59:A60"/>
    <mergeCell ref="B59:B60"/>
    <mergeCell ref="C59:C60"/>
    <mergeCell ref="D59:D60"/>
    <mergeCell ref="E59:E60"/>
    <mergeCell ref="F59:F60"/>
    <mergeCell ref="AM59:AM60"/>
    <mergeCell ref="AN59:AN60"/>
    <mergeCell ref="AO59:AO60"/>
    <mergeCell ref="AP59:AP60"/>
    <mergeCell ref="AQ59:AQ60"/>
    <mergeCell ref="AR59:AR60"/>
    <mergeCell ref="AS59:AS60"/>
    <mergeCell ref="AT59:AT60"/>
    <mergeCell ref="AU59:AU60"/>
    <mergeCell ref="AV59:AV60"/>
    <mergeCell ref="AW59:AW60"/>
    <mergeCell ref="AP67:AP68"/>
    <mergeCell ref="AQ67:AQ68"/>
    <mergeCell ref="AR67:AR68"/>
    <mergeCell ref="AS67:AS68"/>
    <mergeCell ref="AT67:AT68"/>
    <mergeCell ref="AU67:AU68"/>
    <mergeCell ref="AV67:AV68"/>
    <mergeCell ref="AW67:AW68"/>
    <mergeCell ref="A67:A68"/>
    <mergeCell ref="B67:B68"/>
    <mergeCell ref="C67:C68"/>
    <mergeCell ref="D67:D68"/>
    <mergeCell ref="E67:E68"/>
    <mergeCell ref="F67:F68"/>
    <mergeCell ref="AM67:AM68"/>
    <mergeCell ref="AN67:AN68"/>
    <mergeCell ref="AO67:AO68"/>
  </mergeCells>
  <conditionalFormatting sqref="H7:H22">
    <cfRule type="expression" dxfId="540" priority="260">
      <formula>H$5:AL$5="Sat"</formula>
    </cfRule>
    <cfRule type="expression" dxfId="539" priority="263">
      <formula>H$5:AL$5="Sun"</formula>
    </cfRule>
  </conditionalFormatting>
  <conditionalFormatting sqref="AO7:AP7 L7:AM7 L8:AL22 AM11:AO11 AM13:AO13 AM15:AO15 AM17:AO17 AM19:AO19 AM21:AO21">
    <cfRule type="expression" dxfId="538" priority="339">
      <formula>L$5:AX$5="Sat"</formula>
    </cfRule>
    <cfRule type="expression" dxfId="537" priority="340">
      <formula>L$5:AX$5="Sun"</formula>
    </cfRule>
  </conditionalFormatting>
  <conditionalFormatting sqref="AO7:AP7 L7:AM7 L8:AL22 AM11:AO11 AM13:AO13 AM15:AO15 AM17:AO17 AM19:AO19 AM21:AO21">
    <cfRule type="expression" dxfId="536" priority="341">
      <formula>L$5:AX$5="Sun"</formula>
    </cfRule>
  </conditionalFormatting>
  <conditionalFormatting sqref="AM9">
    <cfRule type="expression" dxfId="535" priority="232">
      <formula>AM$5:BY$5="Sat"</formula>
    </cfRule>
    <cfRule type="expression" dxfId="534" priority="233">
      <formula>AM$5:BY$5="Sun"</formula>
    </cfRule>
  </conditionalFormatting>
  <conditionalFormatting sqref="AM9">
    <cfRule type="expression" dxfId="533" priority="234">
      <formula>AM$5:BY$5="Sun"</formula>
    </cfRule>
  </conditionalFormatting>
  <conditionalFormatting sqref="AN7">
    <cfRule type="expression" dxfId="532" priority="229">
      <formula>AN$5:BZ$5="Sat"</formula>
    </cfRule>
    <cfRule type="expression" dxfId="531" priority="230">
      <formula>AN$5:BZ$5="Sun"</formula>
    </cfRule>
  </conditionalFormatting>
  <conditionalFormatting sqref="AN7">
    <cfRule type="expression" dxfId="530" priority="231">
      <formula>AN$5:BZ$5="Sun"</formula>
    </cfRule>
  </conditionalFormatting>
  <conditionalFormatting sqref="AN9">
    <cfRule type="expression" dxfId="529" priority="226">
      <formula>AN$5:BZ$5="Sat"</formula>
    </cfRule>
    <cfRule type="expression" dxfId="528" priority="227">
      <formula>AN$5:BZ$5="Sun"</formula>
    </cfRule>
  </conditionalFormatting>
  <conditionalFormatting sqref="AN9">
    <cfRule type="expression" dxfId="527" priority="228">
      <formula>AN$5:BZ$5="Sun"</formula>
    </cfRule>
  </conditionalFormatting>
  <conditionalFormatting sqref="AO9">
    <cfRule type="expression" dxfId="526" priority="223">
      <formula>AO$5:CA$5="Sat"</formula>
    </cfRule>
    <cfRule type="expression" dxfId="525" priority="224">
      <formula>AO$5:CA$5="Sun"</formula>
    </cfRule>
  </conditionalFormatting>
  <conditionalFormatting sqref="AO9">
    <cfRule type="expression" dxfId="524" priority="225">
      <formula>AO$5:CA$5="Sun"</formula>
    </cfRule>
  </conditionalFormatting>
  <conditionalFormatting sqref="I7:K22">
    <cfRule type="expression" dxfId="523" priority="342">
      <formula>I$5:AQ$5="Sat"</formula>
    </cfRule>
    <cfRule type="expression" dxfId="522" priority="343">
      <formula>I$5:AQ$5="Sun"</formula>
    </cfRule>
  </conditionalFormatting>
  <conditionalFormatting sqref="J7:K22">
    <cfRule type="expression" dxfId="521" priority="344">
      <formula>J$5:AR$5="Sun"</formula>
    </cfRule>
  </conditionalFormatting>
  <conditionalFormatting sqref="AP9">
    <cfRule type="expression" dxfId="520" priority="220">
      <formula>AP$5:CB$5="Sat"</formula>
    </cfRule>
    <cfRule type="expression" dxfId="519" priority="221">
      <formula>AP$5:CB$5="Sun"</formula>
    </cfRule>
  </conditionalFormatting>
  <conditionalFormatting sqref="AP9">
    <cfRule type="expression" dxfId="518" priority="222">
      <formula>AP$5:CB$5="Sun"</formula>
    </cfRule>
  </conditionalFormatting>
  <conditionalFormatting sqref="AP11">
    <cfRule type="expression" dxfId="517" priority="217">
      <formula>AP$5:CB$5="Sat"</formula>
    </cfRule>
    <cfRule type="expression" dxfId="516" priority="218">
      <formula>AP$5:CB$5="Sun"</formula>
    </cfRule>
  </conditionalFormatting>
  <conditionalFormatting sqref="AP11">
    <cfRule type="expression" dxfId="515" priority="219">
      <formula>AP$5:CB$5="Sun"</formula>
    </cfRule>
  </conditionalFormatting>
  <conditionalFormatting sqref="AP13">
    <cfRule type="expression" dxfId="514" priority="214">
      <formula>AP$5:CB$5="Sat"</formula>
    </cfRule>
    <cfRule type="expression" dxfId="513" priority="215">
      <formula>AP$5:CB$5="Sun"</formula>
    </cfRule>
  </conditionalFormatting>
  <conditionalFormatting sqref="AP13">
    <cfRule type="expression" dxfId="512" priority="216">
      <formula>AP$5:CB$5="Sun"</formula>
    </cfRule>
  </conditionalFormatting>
  <conditionalFormatting sqref="AP15">
    <cfRule type="expression" dxfId="511" priority="211">
      <formula>AP$5:CB$5="Sat"</formula>
    </cfRule>
    <cfRule type="expression" dxfId="510" priority="212">
      <formula>AP$5:CB$5="Sun"</formula>
    </cfRule>
  </conditionalFormatting>
  <conditionalFormatting sqref="AP15">
    <cfRule type="expression" dxfId="509" priority="213">
      <formula>AP$5:CB$5="Sun"</formula>
    </cfRule>
  </conditionalFormatting>
  <conditionalFormatting sqref="AP17">
    <cfRule type="expression" dxfId="508" priority="208">
      <formula>AP$5:CB$5="Sat"</formula>
    </cfRule>
    <cfRule type="expression" dxfId="507" priority="209">
      <formula>AP$5:CB$5="Sun"</formula>
    </cfRule>
  </conditionalFormatting>
  <conditionalFormatting sqref="AP17">
    <cfRule type="expression" dxfId="506" priority="210">
      <formula>AP$5:CB$5="Sun"</formula>
    </cfRule>
  </conditionalFormatting>
  <conditionalFormatting sqref="AP19">
    <cfRule type="expression" dxfId="505" priority="205">
      <formula>AP$5:CB$5="Sat"</formula>
    </cfRule>
    <cfRule type="expression" dxfId="504" priority="206">
      <formula>AP$5:CB$5="Sun"</formula>
    </cfRule>
  </conditionalFormatting>
  <conditionalFormatting sqref="AP19">
    <cfRule type="expression" dxfId="503" priority="207">
      <formula>AP$5:CB$5="Sun"</formula>
    </cfRule>
  </conditionalFormatting>
  <conditionalFormatting sqref="AP21">
    <cfRule type="expression" dxfId="502" priority="202">
      <formula>AP$5:CB$5="Sat"</formula>
    </cfRule>
    <cfRule type="expression" dxfId="501" priority="203">
      <formula>AP$5:CB$5="Sun"</formula>
    </cfRule>
  </conditionalFormatting>
  <conditionalFormatting sqref="AP21">
    <cfRule type="expression" dxfId="500" priority="204">
      <formula>AP$5:CB$5="Sun"</formula>
    </cfRule>
  </conditionalFormatting>
  <conditionalFormatting sqref="H23:H26">
    <cfRule type="expression" dxfId="499" priority="185">
      <formula>H$5:AL$5="Sat"</formula>
    </cfRule>
    <cfRule type="expression" dxfId="498" priority="186">
      <formula>H$5:AL$5="Sun"</formula>
    </cfRule>
  </conditionalFormatting>
  <conditionalFormatting sqref="AM23:AO23 AM25:AO25 L23:AL26">
    <cfRule type="expression" dxfId="497" priority="187">
      <formula>L$5:AX$5="Sat"</formula>
    </cfRule>
    <cfRule type="expression" dxfId="496" priority="188">
      <formula>L$5:AX$5="Sun"</formula>
    </cfRule>
  </conditionalFormatting>
  <conditionalFormatting sqref="AM23:AO23 AM25:AO25 L23:AL26">
    <cfRule type="expression" dxfId="495" priority="189">
      <formula>L$5:AX$5="Sun"</formula>
    </cfRule>
  </conditionalFormatting>
  <conditionalFormatting sqref="I23:K26">
    <cfRule type="expression" dxfId="494" priority="190">
      <formula>I$5:AQ$5="Sat"</formula>
    </cfRule>
    <cfRule type="expression" dxfId="493" priority="191">
      <formula>I$5:AQ$5="Sun"</formula>
    </cfRule>
  </conditionalFormatting>
  <conditionalFormatting sqref="J23:K26">
    <cfRule type="expression" dxfId="492" priority="192">
      <formula>J$5:AR$5="Sun"</formula>
    </cfRule>
  </conditionalFormatting>
  <conditionalFormatting sqref="AP23">
    <cfRule type="expression" dxfId="491" priority="182">
      <formula>AP$5:CB$5="Sat"</formula>
    </cfRule>
    <cfRule type="expression" dxfId="490" priority="183">
      <formula>AP$5:CB$5="Sun"</formula>
    </cfRule>
  </conditionalFormatting>
  <conditionalFormatting sqref="AP23">
    <cfRule type="expression" dxfId="489" priority="184">
      <formula>AP$5:CB$5="Sun"</formula>
    </cfRule>
  </conditionalFormatting>
  <conditionalFormatting sqref="AP25">
    <cfRule type="expression" dxfId="488" priority="179">
      <formula>AP$5:CB$5="Sat"</formula>
    </cfRule>
    <cfRule type="expression" dxfId="487" priority="180">
      <formula>AP$5:CB$5="Sun"</formula>
    </cfRule>
  </conditionalFormatting>
  <conditionalFormatting sqref="AP25">
    <cfRule type="expression" dxfId="486" priority="181">
      <formula>AP$5:CB$5="Sun"</formula>
    </cfRule>
  </conditionalFormatting>
  <conditionalFormatting sqref="AP67">
    <cfRule type="expression" dxfId="485" priority="1">
      <formula>AP$5:CB$5="Sat"</formula>
    </cfRule>
    <cfRule type="expression" dxfId="484" priority="2">
      <formula>AP$5:CB$5="Sun"</formula>
    </cfRule>
  </conditionalFormatting>
  <conditionalFormatting sqref="AP67">
    <cfRule type="expression" dxfId="483" priority="3">
      <formula>AP$5:CB$5="Sun"</formula>
    </cfRule>
  </conditionalFormatting>
  <conditionalFormatting sqref="H27:H28">
    <cfRule type="expression" dxfId="482" priority="168">
      <formula>H$5:AL$5="Sat"</formula>
    </cfRule>
    <cfRule type="expression" dxfId="481" priority="169">
      <formula>H$5:AL$5="Sun"</formula>
    </cfRule>
  </conditionalFormatting>
  <conditionalFormatting sqref="L27:AL28 AM27:AO27">
    <cfRule type="expression" dxfId="480" priority="170">
      <formula>L$5:AX$5="Sat"</formula>
    </cfRule>
    <cfRule type="expression" dxfId="479" priority="171">
      <formula>L$5:AX$5="Sun"</formula>
    </cfRule>
  </conditionalFormatting>
  <conditionalFormatting sqref="L27:AL28 AM27:AO27">
    <cfRule type="expression" dxfId="478" priority="172">
      <formula>L$5:AX$5="Sun"</formula>
    </cfRule>
  </conditionalFormatting>
  <conditionalFormatting sqref="I27:K28">
    <cfRule type="expression" dxfId="477" priority="173">
      <formula>I$5:AQ$5="Sat"</formula>
    </cfRule>
    <cfRule type="expression" dxfId="476" priority="174">
      <formula>I$5:AQ$5="Sun"</formula>
    </cfRule>
  </conditionalFormatting>
  <conditionalFormatting sqref="J27:K28">
    <cfRule type="expression" dxfId="475" priority="175">
      <formula>J$5:AR$5="Sun"</formula>
    </cfRule>
  </conditionalFormatting>
  <conditionalFormatting sqref="AP27">
    <cfRule type="expression" dxfId="474" priority="165">
      <formula>AP$5:CB$5="Sat"</formula>
    </cfRule>
    <cfRule type="expression" dxfId="473" priority="166">
      <formula>AP$5:CB$5="Sun"</formula>
    </cfRule>
  </conditionalFormatting>
  <conditionalFormatting sqref="AP27">
    <cfRule type="expression" dxfId="472" priority="167">
      <formula>AP$5:CB$5="Sun"</formula>
    </cfRule>
  </conditionalFormatting>
  <conditionalFormatting sqref="H29:H32">
    <cfRule type="expression" dxfId="471" priority="157">
      <formula>H$5:AL$5="Sat"</formula>
    </cfRule>
    <cfRule type="expression" dxfId="470" priority="158">
      <formula>H$5:AL$5="Sun"</formula>
    </cfRule>
  </conditionalFormatting>
  <conditionalFormatting sqref="AM29:AO29 AM31:AO31 L29:AL32">
    <cfRule type="expression" dxfId="469" priority="159">
      <formula>L$5:AX$5="Sat"</formula>
    </cfRule>
    <cfRule type="expression" dxfId="468" priority="160">
      <formula>L$5:AX$5="Sun"</formula>
    </cfRule>
  </conditionalFormatting>
  <conditionalFormatting sqref="AM29:AO29 AM31:AO31 L29:AL32">
    <cfRule type="expression" dxfId="467" priority="161">
      <formula>L$5:AX$5="Sun"</formula>
    </cfRule>
  </conditionalFormatting>
  <conditionalFormatting sqref="I29:K32">
    <cfRule type="expression" dxfId="466" priority="162">
      <formula>I$5:AQ$5="Sat"</formula>
    </cfRule>
    <cfRule type="expression" dxfId="465" priority="163">
      <formula>I$5:AQ$5="Sun"</formula>
    </cfRule>
  </conditionalFormatting>
  <conditionalFormatting sqref="J29:K32">
    <cfRule type="expression" dxfId="464" priority="164">
      <formula>J$5:AR$5="Sun"</formula>
    </cfRule>
  </conditionalFormatting>
  <conditionalFormatting sqref="AP29">
    <cfRule type="expression" dxfId="463" priority="154">
      <formula>AP$5:CB$5="Sat"</formula>
    </cfRule>
    <cfRule type="expression" dxfId="462" priority="155">
      <formula>AP$5:CB$5="Sun"</formula>
    </cfRule>
  </conditionalFormatting>
  <conditionalFormatting sqref="AP29">
    <cfRule type="expression" dxfId="461" priority="156">
      <formula>AP$5:CB$5="Sun"</formula>
    </cfRule>
  </conditionalFormatting>
  <conditionalFormatting sqref="AP31">
    <cfRule type="expression" dxfId="460" priority="151">
      <formula>AP$5:CB$5="Sat"</formula>
    </cfRule>
    <cfRule type="expression" dxfId="459" priority="152">
      <formula>AP$5:CB$5="Sun"</formula>
    </cfRule>
  </conditionalFormatting>
  <conditionalFormatting sqref="AP31">
    <cfRule type="expression" dxfId="458" priority="153">
      <formula>AP$5:CB$5="Sun"</formula>
    </cfRule>
  </conditionalFormatting>
  <conditionalFormatting sqref="H33:H34">
    <cfRule type="expression" dxfId="457" priority="143">
      <formula>H$5:AL$5="Sat"</formula>
    </cfRule>
    <cfRule type="expression" dxfId="456" priority="144">
      <formula>H$5:AL$5="Sun"</formula>
    </cfRule>
  </conditionalFormatting>
  <conditionalFormatting sqref="L33:AL34 AM33:AO33">
    <cfRule type="expression" dxfId="455" priority="145">
      <formula>L$5:AX$5="Sat"</formula>
    </cfRule>
    <cfRule type="expression" dxfId="454" priority="146">
      <formula>L$5:AX$5="Sun"</formula>
    </cfRule>
  </conditionalFormatting>
  <conditionalFormatting sqref="L33:AL34 AM33:AO33">
    <cfRule type="expression" dxfId="453" priority="147">
      <formula>L$5:AX$5="Sun"</formula>
    </cfRule>
  </conditionalFormatting>
  <conditionalFormatting sqref="I33:K34">
    <cfRule type="expression" dxfId="452" priority="148">
      <formula>I$5:AQ$5="Sat"</formula>
    </cfRule>
    <cfRule type="expression" dxfId="451" priority="149">
      <formula>I$5:AQ$5="Sun"</formula>
    </cfRule>
  </conditionalFormatting>
  <conditionalFormatting sqref="J33:K34">
    <cfRule type="expression" dxfId="450" priority="150">
      <formula>J$5:AR$5="Sun"</formula>
    </cfRule>
  </conditionalFormatting>
  <conditionalFormatting sqref="AP33">
    <cfRule type="expression" dxfId="449" priority="140">
      <formula>AP$5:CB$5="Sat"</formula>
    </cfRule>
    <cfRule type="expression" dxfId="448" priority="141">
      <formula>AP$5:CB$5="Sun"</formula>
    </cfRule>
  </conditionalFormatting>
  <conditionalFormatting sqref="AP33">
    <cfRule type="expression" dxfId="447" priority="142">
      <formula>AP$5:CB$5="Sun"</formula>
    </cfRule>
  </conditionalFormatting>
  <conditionalFormatting sqref="H35:H38">
    <cfRule type="expression" dxfId="446" priority="132">
      <formula>H$5:AL$5="Sat"</formula>
    </cfRule>
    <cfRule type="expression" dxfId="445" priority="133">
      <formula>H$5:AL$5="Sun"</formula>
    </cfRule>
  </conditionalFormatting>
  <conditionalFormatting sqref="AM35:AO35 AM37:AO37 L35:AL38">
    <cfRule type="expression" dxfId="444" priority="134">
      <formula>L$5:AX$5="Sat"</formula>
    </cfRule>
    <cfRule type="expression" dxfId="443" priority="135">
      <formula>L$5:AX$5="Sun"</formula>
    </cfRule>
  </conditionalFormatting>
  <conditionalFormatting sqref="AM35:AO35 AM37:AO37 L35:AL38">
    <cfRule type="expression" dxfId="442" priority="136">
      <formula>L$5:AX$5="Sun"</formula>
    </cfRule>
  </conditionalFormatting>
  <conditionalFormatting sqref="I35:K38">
    <cfRule type="expression" dxfId="441" priority="137">
      <formula>I$5:AQ$5="Sat"</formula>
    </cfRule>
    <cfRule type="expression" dxfId="440" priority="138">
      <formula>I$5:AQ$5="Sun"</formula>
    </cfRule>
  </conditionalFormatting>
  <conditionalFormatting sqref="J35:K38">
    <cfRule type="expression" dxfId="439" priority="139">
      <formula>J$5:AR$5="Sun"</formula>
    </cfRule>
  </conditionalFormatting>
  <conditionalFormatting sqref="AP35">
    <cfRule type="expression" dxfId="438" priority="129">
      <formula>AP$5:CB$5="Sat"</formula>
    </cfRule>
    <cfRule type="expression" dxfId="437" priority="130">
      <formula>AP$5:CB$5="Sun"</formula>
    </cfRule>
  </conditionalFormatting>
  <conditionalFormatting sqref="AP35">
    <cfRule type="expression" dxfId="436" priority="131">
      <formula>AP$5:CB$5="Sun"</formula>
    </cfRule>
  </conditionalFormatting>
  <conditionalFormatting sqref="AP37">
    <cfRule type="expression" dxfId="435" priority="126">
      <formula>AP$5:CB$5="Sat"</formula>
    </cfRule>
    <cfRule type="expression" dxfId="434" priority="127">
      <formula>AP$5:CB$5="Sun"</formula>
    </cfRule>
  </conditionalFormatting>
  <conditionalFormatting sqref="AP37">
    <cfRule type="expression" dxfId="433" priority="128">
      <formula>AP$5:CB$5="Sun"</formula>
    </cfRule>
  </conditionalFormatting>
  <conditionalFormatting sqref="H39:H40">
    <cfRule type="expression" dxfId="432" priority="118">
      <formula>H$5:AL$5="Sat"</formula>
    </cfRule>
    <cfRule type="expression" dxfId="431" priority="119">
      <formula>H$5:AL$5="Sun"</formula>
    </cfRule>
  </conditionalFormatting>
  <conditionalFormatting sqref="L39:AL40 AM39:AO39">
    <cfRule type="expression" dxfId="430" priority="120">
      <formula>L$5:AX$5="Sat"</formula>
    </cfRule>
    <cfRule type="expression" dxfId="429" priority="121">
      <formula>L$5:AX$5="Sun"</formula>
    </cfRule>
  </conditionalFormatting>
  <conditionalFormatting sqref="L39:AL40 AM39:AO39">
    <cfRule type="expression" dxfId="428" priority="122">
      <formula>L$5:AX$5="Sun"</formula>
    </cfRule>
  </conditionalFormatting>
  <conditionalFormatting sqref="I39:K40">
    <cfRule type="expression" dxfId="427" priority="123">
      <formula>I$5:AQ$5="Sat"</formula>
    </cfRule>
    <cfRule type="expression" dxfId="426" priority="124">
      <formula>I$5:AQ$5="Sun"</formula>
    </cfRule>
  </conditionalFormatting>
  <conditionalFormatting sqref="J39:K40">
    <cfRule type="expression" dxfId="425" priority="125">
      <formula>J$5:AR$5="Sun"</formula>
    </cfRule>
  </conditionalFormatting>
  <conditionalFormatting sqref="AP39">
    <cfRule type="expression" dxfId="424" priority="115">
      <formula>AP$5:CB$5="Sat"</formula>
    </cfRule>
    <cfRule type="expression" dxfId="423" priority="116">
      <formula>AP$5:CB$5="Sun"</formula>
    </cfRule>
  </conditionalFormatting>
  <conditionalFormatting sqref="AP39">
    <cfRule type="expression" dxfId="422" priority="117">
      <formula>AP$5:CB$5="Sun"</formula>
    </cfRule>
  </conditionalFormatting>
  <conditionalFormatting sqref="H41:H44">
    <cfRule type="expression" dxfId="421" priority="107">
      <formula>H$5:AL$5="Sat"</formula>
    </cfRule>
    <cfRule type="expression" dxfId="420" priority="108">
      <formula>H$5:AL$5="Sun"</formula>
    </cfRule>
  </conditionalFormatting>
  <conditionalFormatting sqref="AM41:AO41 AM43:AO43 L41:AL44">
    <cfRule type="expression" dxfId="419" priority="109">
      <formula>L$5:AX$5="Sat"</formula>
    </cfRule>
    <cfRule type="expression" dxfId="418" priority="110">
      <formula>L$5:AX$5="Sun"</formula>
    </cfRule>
  </conditionalFormatting>
  <conditionalFormatting sqref="AM41:AO41 AM43:AO43 L41:AL44">
    <cfRule type="expression" dxfId="417" priority="111">
      <formula>L$5:AX$5="Sun"</formula>
    </cfRule>
  </conditionalFormatting>
  <conditionalFormatting sqref="I41:K44">
    <cfRule type="expression" dxfId="416" priority="112">
      <formula>I$5:AQ$5="Sat"</formula>
    </cfRule>
    <cfRule type="expression" dxfId="415" priority="113">
      <formula>I$5:AQ$5="Sun"</formula>
    </cfRule>
  </conditionalFormatting>
  <conditionalFormatting sqref="J41:K44">
    <cfRule type="expression" dxfId="414" priority="114">
      <formula>J$5:AR$5="Sun"</formula>
    </cfRule>
  </conditionalFormatting>
  <conditionalFormatting sqref="AP41">
    <cfRule type="expression" dxfId="413" priority="104">
      <formula>AP$5:CB$5="Sat"</formula>
    </cfRule>
    <cfRule type="expression" dxfId="412" priority="105">
      <formula>AP$5:CB$5="Sun"</formula>
    </cfRule>
  </conditionalFormatting>
  <conditionalFormatting sqref="AP41">
    <cfRule type="expression" dxfId="411" priority="106">
      <formula>AP$5:CB$5="Sun"</formula>
    </cfRule>
  </conditionalFormatting>
  <conditionalFormatting sqref="AP43">
    <cfRule type="expression" dxfId="410" priority="101">
      <formula>AP$5:CB$5="Sat"</formula>
    </cfRule>
    <cfRule type="expression" dxfId="409" priority="102">
      <formula>AP$5:CB$5="Sun"</formula>
    </cfRule>
  </conditionalFormatting>
  <conditionalFormatting sqref="AP43">
    <cfRule type="expression" dxfId="408" priority="103">
      <formula>AP$5:CB$5="Sun"</formula>
    </cfRule>
  </conditionalFormatting>
  <conditionalFormatting sqref="H45:H46">
    <cfRule type="expression" dxfId="407" priority="93">
      <formula>H$5:AL$5="Sat"</formula>
    </cfRule>
    <cfRule type="expression" dxfId="406" priority="94">
      <formula>H$5:AL$5="Sun"</formula>
    </cfRule>
  </conditionalFormatting>
  <conditionalFormatting sqref="L45:AL46 AM45:AO45">
    <cfRule type="expression" dxfId="405" priority="95">
      <formula>L$5:AX$5="Sat"</formula>
    </cfRule>
    <cfRule type="expression" dxfId="404" priority="96">
      <formula>L$5:AX$5="Sun"</formula>
    </cfRule>
  </conditionalFormatting>
  <conditionalFormatting sqref="L45:AL46 AM45:AO45">
    <cfRule type="expression" dxfId="403" priority="97">
      <formula>L$5:AX$5="Sun"</formula>
    </cfRule>
  </conditionalFormatting>
  <conditionalFormatting sqref="I45:K46">
    <cfRule type="expression" dxfId="402" priority="98">
      <formula>I$5:AQ$5="Sat"</formula>
    </cfRule>
    <cfRule type="expression" dxfId="401" priority="99">
      <formula>I$5:AQ$5="Sun"</formula>
    </cfRule>
  </conditionalFormatting>
  <conditionalFormatting sqref="J45:K46">
    <cfRule type="expression" dxfId="400" priority="100">
      <formula>J$5:AR$5="Sun"</formula>
    </cfRule>
  </conditionalFormatting>
  <conditionalFormatting sqref="AP45">
    <cfRule type="expression" dxfId="399" priority="90">
      <formula>AP$5:CB$5="Sat"</formula>
    </cfRule>
    <cfRule type="expression" dxfId="398" priority="91">
      <formula>AP$5:CB$5="Sun"</formula>
    </cfRule>
  </conditionalFormatting>
  <conditionalFormatting sqref="AP45">
    <cfRule type="expression" dxfId="397" priority="92">
      <formula>AP$5:CB$5="Sun"</formula>
    </cfRule>
  </conditionalFormatting>
  <conditionalFormatting sqref="H47:H50">
    <cfRule type="expression" dxfId="396" priority="82">
      <formula>H$5:AL$5="Sat"</formula>
    </cfRule>
    <cfRule type="expression" dxfId="395" priority="83">
      <formula>H$5:AL$5="Sun"</formula>
    </cfRule>
  </conditionalFormatting>
  <conditionalFormatting sqref="AM47:AO47 AM49:AO49 L47:AL50">
    <cfRule type="expression" dxfId="394" priority="84">
      <formula>L$5:AX$5="Sat"</formula>
    </cfRule>
    <cfRule type="expression" dxfId="393" priority="85">
      <formula>L$5:AX$5="Sun"</formula>
    </cfRule>
  </conditionalFormatting>
  <conditionalFormatting sqref="AM47:AO47 AM49:AO49 L47:AL50">
    <cfRule type="expression" dxfId="392" priority="86">
      <formula>L$5:AX$5="Sun"</formula>
    </cfRule>
  </conditionalFormatting>
  <conditionalFormatting sqref="I47:K50">
    <cfRule type="expression" dxfId="391" priority="87">
      <formula>I$5:AQ$5="Sat"</formula>
    </cfRule>
    <cfRule type="expression" dxfId="390" priority="88">
      <formula>I$5:AQ$5="Sun"</formula>
    </cfRule>
  </conditionalFormatting>
  <conditionalFormatting sqref="J47:K50">
    <cfRule type="expression" dxfId="389" priority="89">
      <formula>J$5:AR$5="Sun"</formula>
    </cfRule>
  </conditionalFormatting>
  <conditionalFormatting sqref="AP47">
    <cfRule type="expression" dxfId="388" priority="79">
      <formula>AP$5:CB$5="Sat"</formula>
    </cfRule>
    <cfRule type="expression" dxfId="387" priority="80">
      <formula>AP$5:CB$5="Sun"</formula>
    </cfRule>
  </conditionalFormatting>
  <conditionalFormatting sqref="AP47">
    <cfRule type="expression" dxfId="386" priority="81">
      <formula>AP$5:CB$5="Sun"</formula>
    </cfRule>
  </conditionalFormatting>
  <conditionalFormatting sqref="AP49">
    <cfRule type="expression" dxfId="385" priority="76">
      <formula>AP$5:CB$5="Sat"</formula>
    </cfRule>
    <cfRule type="expression" dxfId="384" priority="77">
      <formula>AP$5:CB$5="Sun"</formula>
    </cfRule>
  </conditionalFormatting>
  <conditionalFormatting sqref="AP49">
    <cfRule type="expression" dxfId="383" priority="78">
      <formula>AP$5:CB$5="Sun"</formula>
    </cfRule>
  </conditionalFormatting>
  <conditionalFormatting sqref="H51:H52">
    <cfRule type="expression" dxfId="382" priority="68">
      <formula>H$5:AL$5="Sat"</formula>
    </cfRule>
    <cfRule type="expression" dxfId="381" priority="69">
      <formula>H$5:AL$5="Sun"</formula>
    </cfRule>
  </conditionalFormatting>
  <conditionalFormatting sqref="L51:AL52 AM51:AO51">
    <cfRule type="expression" dxfId="380" priority="70">
      <formula>L$5:AX$5="Sat"</formula>
    </cfRule>
    <cfRule type="expression" dxfId="379" priority="71">
      <formula>L$5:AX$5="Sun"</formula>
    </cfRule>
  </conditionalFormatting>
  <conditionalFormatting sqref="L51:AL52 AM51:AO51">
    <cfRule type="expression" dxfId="378" priority="72">
      <formula>L$5:AX$5="Sun"</formula>
    </cfRule>
  </conditionalFormatting>
  <conditionalFormatting sqref="I51:K52">
    <cfRule type="expression" dxfId="377" priority="73">
      <formula>I$5:AQ$5="Sat"</formula>
    </cfRule>
    <cfRule type="expression" dxfId="376" priority="74">
      <formula>I$5:AQ$5="Sun"</formula>
    </cfRule>
  </conditionalFormatting>
  <conditionalFormatting sqref="J51:K52">
    <cfRule type="expression" dxfId="375" priority="75">
      <formula>J$5:AR$5="Sun"</formula>
    </cfRule>
  </conditionalFormatting>
  <conditionalFormatting sqref="AP51">
    <cfRule type="expression" dxfId="374" priority="65">
      <formula>AP$5:CB$5="Sat"</formula>
    </cfRule>
    <cfRule type="expression" dxfId="373" priority="66">
      <formula>AP$5:CB$5="Sun"</formula>
    </cfRule>
  </conditionalFormatting>
  <conditionalFormatting sqref="AP51">
    <cfRule type="expression" dxfId="372" priority="67">
      <formula>AP$5:CB$5="Sun"</formula>
    </cfRule>
  </conditionalFormatting>
  <conditionalFormatting sqref="H53:H56">
    <cfRule type="expression" dxfId="371" priority="57">
      <formula>H$5:AL$5="Sat"</formula>
    </cfRule>
    <cfRule type="expression" dxfId="370" priority="58">
      <formula>H$5:AL$5="Sun"</formula>
    </cfRule>
  </conditionalFormatting>
  <conditionalFormatting sqref="AM53:AO53 AM55:AO55 L53:AL56">
    <cfRule type="expression" dxfId="369" priority="59">
      <formula>L$5:AX$5="Sat"</formula>
    </cfRule>
    <cfRule type="expression" dxfId="368" priority="60">
      <formula>L$5:AX$5="Sun"</formula>
    </cfRule>
  </conditionalFormatting>
  <conditionalFormatting sqref="AM53:AO53 AM55:AO55 L53:AL56">
    <cfRule type="expression" dxfId="367" priority="61">
      <formula>L$5:AX$5="Sun"</formula>
    </cfRule>
  </conditionalFormatting>
  <conditionalFormatting sqref="I53:K56">
    <cfRule type="expression" dxfId="366" priority="62">
      <formula>I$5:AQ$5="Sat"</formula>
    </cfRule>
    <cfRule type="expression" dxfId="365" priority="63">
      <formula>I$5:AQ$5="Sun"</formula>
    </cfRule>
  </conditionalFormatting>
  <conditionalFormatting sqref="J53:K56">
    <cfRule type="expression" dxfId="364" priority="64">
      <formula>J$5:AR$5="Sun"</formula>
    </cfRule>
  </conditionalFormatting>
  <conditionalFormatting sqref="AP53">
    <cfRule type="expression" dxfId="363" priority="54">
      <formula>AP$5:CB$5="Sat"</formula>
    </cfRule>
    <cfRule type="expression" dxfId="362" priority="55">
      <formula>AP$5:CB$5="Sun"</formula>
    </cfRule>
  </conditionalFormatting>
  <conditionalFormatting sqref="AP53">
    <cfRule type="expression" dxfId="361" priority="56">
      <formula>AP$5:CB$5="Sun"</formula>
    </cfRule>
  </conditionalFormatting>
  <conditionalFormatting sqref="AP55">
    <cfRule type="expression" dxfId="360" priority="51">
      <formula>AP$5:CB$5="Sat"</formula>
    </cfRule>
    <cfRule type="expression" dxfId="359" priority="52">
      <formula>AP$5:CB$5="Sun"</formula>
    </cfRule>
  </conditionalFormatting>
  <conditionalFormatting sqref="AP55">
    <cfRule type="expression" dxfId="358" priority="53">
      <formula>AP$5:CB$5="Sun"</formula>
    </cfRule>
  </conditionalFormatting>
  <conditionalFormatting sqref="H57:H58">
    <cfRule type="expression" dxfId="357" priority="43">
      <formula>H$5:AL$5="Sat"</formula>
    </cfRule>
    <cfRule type="expression" dxfId="356" priority="44">
      <formula>H$5:AL$5="Sun"</formula>
    </cfRule>
  </conditionalFormatting>
  <conditionalFormatting sqref="L57:AL58 AM57:AO57">
    <cfRule type="expression" dxfId="355" priority="45">
      <formula>L$5:AX$5="Sat"</formula>
    </cfRule>
    <cfRule type="expression" dxfId="354" priority="46">
      <formula>L$5:AX$5="Sun"</formula>
    </cfRule>
  </conditionalFormatting>
  <conditionalFormatting sqref="L57:AL58 AM57:AO57">
    <cfRule type="expression" dxfId="353" priority="47">
      <formula>L$5:AX$5="Sun"</formula>
    </cfRule>
  </conditionalFormatting>
  <conditionalFormatting sqref="I57:K58">
    <cfRule type="expression" dxfId="352" priority="48">
      <formula>I$5:AQ$5="Sat"</formula>
    </cfRule>
    <cfRule type="expression" dxfId="351" priority="49">
      <formula>I$5:AQ$5="Sun"</formula>
    </cfRule>
  </conditionalFormatting>
  <conditionalFormatting sqref="J57:K58">
    <cfRule type="expression" dxfId="350" priority="50">
      <formula>J$5:AR$5="Sun"</formula>
    </cfRule>
  </conditionalFormatting>
  <conditionalFormatting sqref="AP57">
    <cfRule type="expression" dxfId="349" priority="40">
      <formula>AP$5:CB$5="Sat"</formula>
    </cfRule>
    <cfRule type="expression" dxfId="348" priority="41">
      <formula>AP$5:CB$5="Sun"</formula>
    </cfRule>
  </conditionalFormatting>
  <conditionalFormatting sqref="AP57">
    <cfRule type="expression" dxfId="347" priority="42">
      <formula>AP$5:CB$5="Sun"</formula>
    </cfRule>
  </conditionalFormatting>
  <conditionalFormatting sqref="H59:H62">
    <cfRule type="expression" dxfId="346" priority="32">
      <formula>H$5:AL$5="Sat"</formula>
    </cfRule>
    <cfRule type="expression" dxfId="345" priority="33">
      <formula>H$5:AL$5="Sun"</formula>
    </cfRule>
  </conditionalFormatting>
  <conditionalFormatting sqref="AM59:AO59 AM61:AO61 L59:AL62">
    <cfRule type="expression" dxfId="344" priority="34">
      <formula>L$5:AX$5="Sat"</formula>
    </cfRule>
    <cfRule type="expression" dxfId="343" priority="35">
      <formula>L$5:AX$5="Sun"</formula>
    </cfRule>
  </conditionalFormatting>
  <conditionalFormatting sqref="AM59:AO59 AM61:AO61 L59:AL62">
    <cfRule type="expression" dxfId="342" priority="36">
      <formula>L$5:AX$5="Sun"</formula>
    </cfRule>
  </conditionalFormatting>
  <conditionalFormatting sqref="I59:K62">
    <cfRule type="expression" dxfId="341" priority="37">
      <formula>I$5:AQ$5="Sat"</formula>
    </cfRule>
    <cfRule type="expression" dxfId="340" priority="38">
      <formula>I$5:AQ$5="Sun"</formula>
    </cfRule>
  </conditionalFormatting>
  <conditionalFormatting sqref="J59:K62">
    <cfRule type="expression" dxfId="339" priority="39">
      <formula>J$5:AR$5="Sun"</formula>
    </cfRule>
  </conditionalFormatting>
  <conditionalFormatting sqref="AP59">
    <cfRule type="expression" dxfId="338" priority="29">
      <formula>AP$5:CB$5="Sat"</formula>
    </cfRule>
    <cfRule type="expression" dxfId="337" priority="30">
      <formula>AP$5:CB$5="Sun"</formula>
    </cfRule>
  </conditionalFormatting>
  <conditionalFormatting sqref="AP59">
    <cfRule type="expression" dxfId="336" priority="31">
      <formula>AP$5:CB$5="Sun"</formula>
    </cfRule>
  </conditionalFormatting>
  <conditionalFormatting sqref="AP61">
    <cfRule type="expression" dxfId="335" priority="26">
      <formula>AP$5:CB$5="Sat"</formula>
    </cfRule>
    <cfRule type="expression" dxfId="334" priority="27">
      <formula>AP$5:CB$5="Sun"</formula>
    </cfRule>
  </conditionalFormatting>
  <conditionalFormatting sqref="AP61">
    <cfRule type="expression" dxfId="333" priority="28">
      <formula>AP$5:CB$5="Sun"</formula>
    </cfRule>
  </conditionalFormatting>
  <conditionalFormatting sqref="H63:H64">
    <cfRule type="expression" dxfId="332" priority="18">
      <formula>H$5:AL$5="Sat"</formula>
    </cfRule>
    <cfRule type="expression" dxfId="331" priority="19">
      <formula>H$5:AL$5="Sun"</formula>
    </cfRule>
  </conditionalFormatting>
  <conditionalFormatting sqref="L63:AL64 AM63:AO63">
    <cfRule type="expression" dxfId="330" priority="20">
      <formula>L$5:AX$5="Sat"</formula>
    </cfRule>
    <cfRule type="expression" dxfId="329" priority="21">
      <formula>L$5:AX$5="Sun"</formula>
    </cfRule>
  </conditionalFormatting>
  <conditionalFormatting sqref="L63:AL64 AM63:AO63">
    <cfRule type="expression" dxfId="328" priority="22">
      <formula>L$5:AX$5="Sun"</formula>
    </cfRule>
  </conditionalFormatting>
  <conditionalFormatting sqref="I63:K64">
    <cfRule type="expression" dxfId="327" priority="23">
      <formula>I$5:AQ$5="Sat"</formula>
    </cfRule>
    <cfRule type="expression" dxfId="326" priority="24">
      <formula>I$5:AQ$5="Sun"</formula>
    </cfRule>
  </conditionalFormatting>
  <conditionalFormatting sqref="J63:K64">
    <cfRule type="expression" dxfId="325" priority="25">
      <formula>J$5:AR$5="Sun"</formula>
    </cfRule>
  </conditionalFormatting>
  <conditionalFormatting sqref="AP63">
    <cfRule type="expression" dxfId="324" priority="15">
      <formula>AP$5:CB$5="Sat"</formula>
    </cfRule>
    <cfRule type="expression" dxfId="323" priority="16">
      <formula>AP$5:CB$5="Sun"</formula>
    </cfRule>
  </conditionalFormatting>
  <conditionalFormatting sqref="AP63">
    <cfRule type="expression" dxfId="322" priority="17">
      <formula>AP$5:CB$5="Sun"</formula>
    </cfRule>
  </conditionalFormatting>
  <conditionalFormatting sqref="H65:H68">
    <cfRule type="expression" dxfId="321" priority="7">
      <formula>H$5:AL$5="Sat"</formula>
    </cfRule>
    <cfRule type="expression" dxfId="320" priority="8">
      <formula>H$5:AL$5="Sun"</formula>
    </cfRule>
  </conditionalFormatting>
  <conditionalFormatting sqref="AM65:AO65 AM67:AO67 L65:AL68">
    <cfRule type="expression" dxfId="319" priority="9">
      <formula>L$5:AX$5="Sat"</formula>
    </cfRule>
    <cfRule type="expression" dxfId="318" priority="10">
      <formula>L$5:AX$5="Sun"</formula>
    </cfRule>
  </conditionalFormatting>
  <conditionalFormatting sqref="AM65:AO65 AM67:AO67 L65:AL68">
    <cfRule type="expression" dxfId="317" priority="11">
      <formula>L$5:AX$5="Sun"</formula>
    </cfRule>
  </conditionalFormatting>
  <conditionalFormatting sqref="I65:K68">
    <cfRule type="expression" dxfId="316" priority="12">
      <formula>I$5:AQ$5="Sat"</formula>
    </cfRule>
    <cfRule type="expression" dxfId="315" priority="13">
      <formula>I$5:AQ$5="Sun"</formula>
    </cfRule>
  </conditionalFormatting>
  <conditionalFormatting sqref="J65:K68">
    <cfRule type="expression" dxfId="314" priority="14">
      <formula>J$5:AR$5="Sun"</formula>
    </cfRule>
  </conditionalFormatting>
  <conditionalFormatting sqref="AP65">
    <cfRule type="expression" dxfId="313" priority="4">
      <formula>AP$5:CB$5="Sat"</formula>
    </cfRule>
    <cfRule type="expression" dxfId="312" priority="5">
      <formula>AP$5:CB$5="Sun"</formula>
    </cfRule>
  </conditionalFormatting>
  <conditionalFormatting sqref="AP65">
    <cfRule type="expression" dxfId="311" priority="6">
      <formula>AP$5:CB$5="Sun"</formula>
    </cfRule>
  </conditionalFormatting>
  <dataValidations count="3">
    <dataValidation type="list" allowBlank="1" showInputMessage="1" showErrorMessage="1" sqref="C2" xr:uid="{50970EA2-64D5-4503-A939-D12069697267}">
      <formula1>EN_Date</formula1>
    </dataValidation>
    <dataValidation type="whole" operator="equal" allowBlank="1" showInputMessage="1" showErrorMessage="1" sqref="H7:AL68" xr:uid="{BE42EF00-0621-43CD-BECC-6447D6971F0A}">
      <formula1>1</formula1>
    </dataValidation>
    <dataValidation operator="equal" allowBlank="1" showInputMessage="1" showErrorMessage="1" sqref="AP59 AP7 AP9 AP11 AP13 AP15 AP17 AP19 AP21 AM7:AO68 AP23 AP25 AP31 AP27 AP29 AP37 AP33 AP35 AP43 AP39 AP41 AP49 AP45 AP47 AP55 AP51 AP53 AP61 AP57 AP63 AP65 AP67" xr:uid="{9229EB21-9431-447B-A612-46E792311A08}"/>
  </dataValidations>
  <pageMargins left="0.7" right="0.7" top="0.75" bottom="0.75" header="0.3" footer="0.3"/>
  <pageSetup paperSize="9" orientation="portrait" horizontalDpi="1200" verticalDpi="1200" r:id="rId1"/>
  <headerFooter>
    <oddFooter>&amp;C&amp;1#&amp;"Arial"&amp;10&amp;K000000Internal</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F6CF44-C142-4824-AEE6-8142EE9F2829}">
  <sheetPr codeName="Sheet13"/>
  <dimension ref="A1:AX68"/>
  <sheetViews>
    <sheetView zoomScale="80" zoomScaleNormal="80" workbookViewId="0">
      <pane xSplit="7" ySplit="6" topLeftCell="H7" activePane="bottomRight" state="frozen"/>
      <selection pane="topRight" activeCell="X3" sqref="X3:X5"/>
      <selection pane="bottomLeft" activeCell="X3" sqref="X3:X5"/>
      <selection pane="bottomRight" activeCell="E13" sqref="E13:E14"/>
    </sheetView>
  </sheetViews>
  <sheetFormatPr defaultColWidth="9.109375" defaultRowHeight="14.4"/>
  <cols>
    <col min="1" max="1" width="8.5546875" style="8" customWidth="1"/>
    <col min="2" max="2" width="13.88671875" style="8" customWidth="1"/>
    <col min="3" max="3" width="18.5546875" style="8" customWidth="1"/>
    <col min="4" max="4" width="15.44140625" style="8" bestFit="1" customWidth="1"/>
    <col min="5" max="6" width="15.44140625" style="8" customWidth="1"/>
    <col min="7" max="7" width="17.44140625" style="8" bestFit="1" customWidth="1"/>
    <col min="8" max="38" width="8.5546875" style="8" customWidth="1"/>
    <col min="39" max="39" width="36.5546875" style="8" bestFit="1" customWidth="1"/>
    <col min="40" max="40" width="46" style="8" bestFit="1" customWidth="1"/>
    <col min="41" max="41" width="28.5546875" style="8" bestFit="1" customWidth="1"/>
    <col min="42" max="42" width="28.5546875" style="8" customWidth="1"/>
    <col min="43" max="43" width="20" style="8" bestFit="1" customWidth="1"/>
    <col min="44" max="44" width="31" style="8" customWidth="1"/>
    <col min="45" max="45" width="13.5546875" style="8" bestFit="1" customWidth="1"/>
    <col min="46" max="48" width="13.5546875" style="8" customWidth="1"/>
    <col min="49" max="49" width="20.44140625" style="8" customWidth="1"/>
    <col min="50" max="16384" width="9.109375" style="8"/>
  </cols>
  <sheetData>
    <row r="1" spans="1:50" ht="18.600000000000001" thickBot="1">
      <c r="A1" s="83" t="s">
        <v>63</v>
      </c>
    </row>
    <row r="2" spans="1:50" ht="38.25" customHeight="1" thickBot="1">
      <c r="A2" s="198" t="s">
        <v>64</v>
      </c>
      <c r="B2" s="199"/>
      <c r="C2" s="32" t="s">
        <v>65</v>
      </c>
      <c r="D2" s="7" t="e">
        <f>EOMONTH(C2,0)</f>
        <v>#VALUE!</v>
      </c>
      <c r="H2" s="176" t="s">
        <v>66</v>
      </c>
      <c r="I2" s="177"/>
      <c r="J2" s="177"/>
      <c r="K2" s="177"/>
      <c r="L2" s="177"/>
      <c r="M2" s="177"/>
      <c r="N2" s="177"/>
      <c r="O2" s="177"/>
      <c r="P2" s="177"/>
      <c r="Q2" s="177"/>
      <c r="R2" s="177"/>
      <c r="S2" s="177"/>
      <c r="T2" s="177"/>
      <c r="U2" s="177"/>
      <c r="V2" s="177"/>
      <c r="W2" s="177"/>
      <c r="X2" s="177"/>
      <c r="Y2" s="177"/>
      <c r="Z2" s="177"/>
      <c r="AA2" s="177"/>
      <c r="AB2" s="177"/>
      <c r="AC2" s="177"/>
      <c r="AD2" s="177"/>
      <c r="AE2" s="177"/>
      <c r="AF2" s="177"/>
      <c r="AG2" s="177"/>
      <c r="AH2" s="177"/>
      <c r="AI2" s="177"/>
      <c r="AJ2" s="177"/>
      <c r="AK2" s="177"/>
      <c r="AL2" s="178"/>
      <c r="AR2" s="9"/>
    </row>
    <row r="3" spans="1:50" ht="15" thickBot="1">
      <c r="H3" s="10" t="s">
        <v>158</v>
      </c>
      <c r="I3" s="10"/>
      <c r="J3" s="10"/>
      <c r="K3" s="10" t="s">
        <v>157</v>
      </c>
      <c r="L3" s="10"/>
      <c r="M3" s="10"/>
      <c r="N3" s="10" t="s">
        <v>156</v>
      </c>
      <c r="O3" s="10"/>
      <c r="P3" s="10"/>
      <c r="Q3" s="10" t="s">
        <v>155</v>
      </c>
      <c r="R3" s="10"/>
      <c r="S3" s="10"/>
      <c r="T3" s="10"/>
      <c r="U3" s="10"/>
      <c r="V3" s="10"/>
      <c r="W3" s="10"/>
      <c r="X3" s="10"/>
      <c r="Y3" s="10"/>
      <c r="Z3" s="10"/>
      <c r="AA3" s="10"/>
      <c r="AB3" s="10"/>
      <c r="AC3" s="10"/>
      <c r="AD3" s="10"/>
      <c r="AE3" s="10"/>
      <c r="AF3" s="10"/>
      <c r="AG3" s="10"/>
      <c r="AH3" s="10"/>
      <c r="AI3" s="10"/>
      <c r="AJ3" s="10"/>
      <c r="AK3" s="10"/>
      <c r="AL3" s="10"/>
      <c r="AM3" s="10"/>
      <c r="AN3" s="10"/>
      <c r="AO3" s="10"/>
      <c r="AP3" s="10"/>
      <c r="AQ3" s="11"/>
    </row>
    <row r="4" spans="1:50" ht="76.5" customHeight="1">
      <c r="A4" s="12" t="s">
        <v>67</v>
      </c>
      <c r="B4" s="13" t="s">
        <v>68</v>
      </c>
      <c r="C4" s="13" t="s">
        <v>69</v>
      </c>
      <c r="D4" s="13" t="s">
        <v>70</v>
      </c>
      <c r="E4" s="13" t="s">
        <v>71</v>
      </c>
      <c r="F4" s="13" t="s">
        <v>72</v>
      </c>
      <c r="G4" s="196" t="s">
        <v>73</v>
      </c>
      <c r="H4" s="38" t="e">
        <f>IF($C$2+0&gt;$D$2,"",$C$2+0)</f>
        <v>#VALUE!</v>
      </c>
      <c r="I4" s="39" t="e">
        <f>IF($C$2+1&gt;$D$2,"",$C$2+1)</f>
        <v>#VALUE!</v>
      </c>
      <c r="J4" s="39" t="e">
        <f>IF($C$2+2&gt;$D$2,"",$C$2+2)</f>
        <v>#VALUE!</v>
      </c>
      <c r="K4" s="39" t="e">
        <f>IF($C$2+3&gt;$D$2,"",$C$2+3)</f>
        <v>#VALUE!</v>
      </c>
      <c r="L4" s="39" t="e">
        <f>IF($C$2+4&gt;$D$2,"",$C$2+4)</f>
        <v>#VALUE!</v>
      </c>
      <c r="M4" s="39" t="e">
        <f>IF($C$2+5&gt;$D$2,"",$C$2+5)</f>
        <v>#VALUE!</v>
      </c>
      <c r="N4" s="39" t="e">
        <f>IF($C$2+6&gt;$D$2,"",$C$2+6)</f>
        <v>#VALUE!</v>
      </c>
      <c r="O4" s="39" t="e">
        <f>IF($C$2+7&gt;$D$2,"",$C$2+7)</f>
        <v>#VALUE!</v>
      </c>
      <c r="P4" s="39" t="e">
        <f>IF($C$2+8&gt;$D$2,"",$C$2+8)</f>
        <v>#VALUE!</v>
      </c>
      <c r="Q4" s="39" t="e">
        <f>IF($C$2+9&gt;$D$2,"",$C$2+9)</f>
        <v>#VALUE!</v>
      </c>
      <c r="R4" s="39" t="e">
        <f>IF($C$2+10&gt;$D$2,"",$C$2+10)</f>
        <v>#VALUE!</v>
      </c>
      <c r="S4" s="39" t="e">
        <f>IF($C$2+11&gt;$D$2,"",$C$2+11)</f>
        <v>#VALUE!</v>
      </c>
      <c r="T4" s="39" t="e">
        <f>IF($C$2+12&gt;$D$2,"",$C$2+12)</f>
        <v>#VALUE!</v>
      </c>
      <c r="U4" s="39" t="e">
        <f>IF($C$2+13&gt;$D$2,"",$C$2+13)</f>
        <v>#VALUE!</v>
      </c>
      <c r="V4" s="39" t="e">
        <f>IF($C$2+14&gt;$D$2,"",$C$2+14)</f>
        <v>#VALUE!</v>
      </c>
      <c r="W4" s="39" t="e">
        <f>IF($C$2+15&gt;$D$2,"",$C$2+15)</f>
        <v>#VALUE!</v>
      </c>
      <c r="X4" s="39" t="e">
        <f>IF($C$2+16&gt;$D$2,"",$C$2+16)</f>
        <v>#VALUE!</v>
      </c>
      <c r="Y4" s="39" t="e">
        <f>IF($C$2+17&gt;$D$2,"",$C$2+17)</f>
        <v>#VALUE!</v>
      </c>
      <c r="Z4" s="39" t="e">
        <f>IF($C$2+18&gt;$D$2,"",$C$2+18)</f>
        <v>#VALUE!</v>
      </c>
      <c r="AA4" s="39" t="e">
        <f>IF($C$2+19&gt;$D$2,"",$C$2+19)</f>
        <v>#VALUE!</v>
      </c>
      <c r="AB4" s="39" t="e">
        <f>IF($C$2+20&gt;$D$2,"",$C$2+20)</f>
        <v>#VALUE!</v>
      </c>
      <c r="AC4" s="39" t="e">
        <f>IF($C$2+21&gt;$D$2,"",$C$2+21)</f>
        <v>#VALUE!</v>
      </c>
      <c r="AD4" s="39" t="e">
        <f>IF($C$2+22&gt;$D$2,"",$C$2+22)</f>
        <v>#VALUE!</v>
      </c>
      <c r="AE4" s="39" t="e">
        <f>IF($C$2+23&gt;$D$2,"",$C$2+23)</f>
        <v>#VALUE!</v>
      </c>
      <c r="AF4" s="39" t="e">
        <f>IF($C$2+24&gt;$D$2,"",$C$2+24)</f>
        <v>#VALUE!</v>
      </c>
      <c r="AG4" s="39" t="e">
        <f>IF($C$2+25&gt;$D$2,"",$C$2+25)</f>
        <v>#VALUE!</v>
      </c>
      <c r="AH4" s="39" t="e">
        <f>IF($C$2+26&gt;$D$2,"",$C$2+26)</f>
        <v>#VALUE!</v>
      </c>
      <c r="AI4" s="39" t="e">
        <f>IF($C$2+27&gt;$D$2,"",$C$2+27)</f>
        <v>#VALUE!</v>
      </c>
      <c r="AJ4" s="39" t="e">
        <f>IF($C$2+28&gt;$D$2,"",$C$2+28)</f>
        <v>#VALUE!</v>
      </c>
      <c r="AK4" s="39" t="e">
        <f>IF($C$2+29&gt;$D$2,"",$C$2+29)</f>
        <v>#VALUE!</v>
      </c>
      <c r="AL4" s="40" t="e">
        <f>IF($C$2+30&gt;$D$2,"",$C$2+30)</f>
        <v>#VALUE!</v>
      </c>
      <c r="AM4" s="181" t="s">
        <v>74</v>
      </c>
      <c r="AN4" s="182"/>
      <c r="AO4" s="182"/>
      <c r="AP4" s="13" t="s">
        <v>75</v>
      </c>
      <c r="AQ4" s="181" t="s">
        <v>76</v>
      </c>
      <c r="AR4" s="182"/>
      <c r="AS4" s="183"/>
      <c r="AT4" s="181" t="s">
        <v>77</v>
      </c>
      <c r="AU4" s="182"/>
      <c r="AV4" s="203"/>
      <c r="AW4" s="200" t="s">
        <v>78</v>
      </c>
    </row>
    <row r="5" spans="1:50" ht="15" customHeight="1">
      <c r="A5" s="14"/>
      <c r="B5" s="15"/>
      <c r="C5" s="15"/>
      <c r="D5" s="15"/>
      <c r="E5" s="15"/>
      <c r="F5" s="15"/>
      <c r="G5" s="197"/>
      <c r="H5" s="16" t="e">
        <f>IF(TEXT(H4,"DDD")="","",TEXT(H4,"DDD"))</f>
        <v>#VALUE!</v>
      </c>
      <c r="I5" s="17" t="e">
        <f t="shared" ref="I5:AL5" si="0">IF(TEXT(I4,"DDD")="","",TEXT(I4,"DDD"))</f>
        <v>#VALUE!</v>
      </c>
      <c r="J5" s="17" t="e">
        <f t="shared" si="0"/>
        <v>#VALUE!</v>
      </c>
      <c r="K5" s="17" t="e">
        <f t="shared" si="0"/>
        <v>#VALUE!</v>
      </c>
      <c r="L5" s="17" t="e">
        <f t="shared" si="0"/>
        <v>#VALUE!</v>
      </c>
      <c r="M5" s="17" t="e">
        <f t="shared" si="0"/>
        <v>#VALUE!</v>
      </c>
      <c r="N5" s="17" t="e">
        <f t="shared" si="0"/>
        <v>#VALUE!</v>
      </c>
      <c r="O5" s="17" t="e">
        <f t="shared" si="0"/>
        <v>#VALUE!</v>
      </c>
      <c r="P5" s="17" t="e">
        <f t="shared" si="0"/>
        <v>#VALUE!</v>
      </c>
      <c r="Q5" s="17" t="e">
        <f t="shared" si="0"/>
        <v>#VALUE!</v>
      </c>
      <c r="R5" s="17" t="e">
        <f t="shared" si="0"/>
        <v>#VALUE!</v>
      </c>
      <c r="S5" s="17" t="e">
        <f t="shared" si="0"/>
        <v>#VALUE!</v>
      </c>
      <c r="T5" s="17" t="e">
        <f t="shared" si="0"/>
        <v>#VALUE!</v>
      </c>
      <c r="U5" s="17" t="e">
        <f t="shared" si="0"/>
        <v>#VALUE!</v>
      </c>
      <c r="V5" s="17" t="e">
        <f t="shared" si="0"/>
        <v>#VALUE!</v>
      </c>
      <c r="W5" s="17" t="e">
        <f t="shared" si="0"/>
        <v>#VALUE!</v>
      </c>
      <c r="X5" s="17" t="e">
        <f t="shared" si="0"/>
        <v>#VALUE!</v>
      </c>
      <c r="Y5" s="17" t="e">
        <f t="shared" si="0"/>
        <v>#VALUE!</v>
      </c>
      <c r="Z5" s="17" t="e">
        <f t="shared" si="0"/>
        <v>#VALUE!</v>
      </c>
      <c r="AA5" s="17" t="e">
        <f t="shared" si="0"/>
        <v>#VALUE!</v>
      </c>
      <c r="AB5" s="17" t="e">
        <f t="shared" si="0"/>
        <v>#VALUE!</v>
      </c>
      <c r="AC5" s="17" t="e">
        <f t="shared" si="0"/>
        <v>#VALUE!</v>
      </c>
      <c r="AD5" s="17" t="e">
        <f t="shared" si="0"/>
        <v>#VALUE!</v>
      </c>
      <c r="AE5" s="17" t="e">
        <f t="shared" si="0"/>
        <v>#VALUE!</v>
      </c>
      <c r="AF5" s="17" t="e">
        <f t="shared" si="0"/>
        <v>#VALUE!</v>
      </c>
      <c r="AG5" s="17" t="e">
        <f t="shared" si="0"/>
        <v>#VALUE!</v>
      </c>
      <c r="AH5" s="17" t="e">
        <f t="shared" si="0"/>
        <v>#VALUE!</v>
      </c>
      <c r="AI5" s="17" t="e">
        <f t="shared" si="0"/>
        <v>#VALUE!</v>
      </c>
      <c r="AJ5" s="17" t="e">
        <f t="shared" si="0"/>
        <v>#VALUE!</v>
      </c>
      <c r="AK5" s="17" t="e">
        <f t="shared" si="0"/>
        <v>#VALUE!</v>
      </c>
      <c r="AL5" s="18" t="e">
        <f t="shared" si="0"/>
        <v>#VALUE!</v>
      </c>
      <c r="AM5" s="179" t="s">
        <v>79</v>
      </c>
      <c r="AN5" s="184" t="s">
        <v>80</v>
      </c>
      <c r="AO5" s="184" t="s">
        <v>81</v>
      </c>
      <c r="AP5" s="118"/>
      <c r="AQ5" s="179" t="s">
        <v>82</v>
      </c>
      <c r="AR5" s="184" t="s">
        <v>83</v>
      </c>
      <c r="AS5" s="186" t="s">
        <v>84</v>
      </c>
      <c r="AT5" s="179" t="s">
        <v>85</v>
      </c>
      <c r="AU5" s="184" t="s">
        <v>86</v>
      </c>
      <c r="AV5" s="204" t="s">
        <v>87</v>
      </c>
      <c r="AW5" s="201"/>
    </row>
    <row r="6" spans="1:50" ht="15" thickBot="1">
      <c r="A6" s="14"/>
      <c r="B6" s="15"/>
      <c r="C6" s="15"/>
      <c r="D6" s="15"/>
      <c r="E6" s="15"/>
      <c r="F6" s="15"/>
      <c r="G6" s="19" t="s">
        <v>88</v>
      </c>
      <c r="H6" s="20" t="str">
        <f>IFERROR(HLOOKUP(H4,Reference!33:34,2,0),"")</f>
        <v/>
      </c>
      <c r="I6" s="20" t="str">
        <f>IFERROR(HLOOKUP(I4,Reference!33:34,2,0),"")</f>
        <v/>
      </c>
      <c r="J6" s="20" t="str">
        <f>IFERROR(HLOOKUP(J4,Reference!33:34,2,0),"")</f>
        <v/>
      </c>
      <c r="K6" s="20" t="str">
        <f>IFERROR(HLOOKUP(K4,Reference!33:34,2,0),"")</f>
        <v/>
      </c>
      <c r="L6" s="20" t="str">
        <f>IFERROR(HLOOKUP(L4,Reference!33:34,2,0),"")</f>
        <v/>
      </c>
      <c r="M6" s="20" t="str">
        <f>IFERROR(HLOOKUP(M4,Reference!33:34,2,0),"")</f>
        <v/>
      </c>
      <c r="N6" s="20" t="str">
        <f>IFERROR(HLOOKUP(N4,Reference!33:34,2,0),"")</f>
        <v/>
      </c>
      <c r="O6" s="20" t="str">
        <f>IFERROR(HLOOKUP(O4,Reference!33:34,2,0),"")</f>
        <v/>
      </c>
      <c r="P6" s="20" t="str">
        <f>IFERROR(HLOOKUP(P4,Reference!33:34,2,0),"")</f>
        <v/>
      </c>
      <c r="Q6" s="20" t="str">
        <f>IFERROR(HLOOKUP(Q4,Reference!33:34,2,0),"")</f>
        <v/>
      </c>
      <c r="R6" s="20" t="str">
        <f>IFERROR(HLOOKUP(R4,Reference!33:34,2,0),"")</f>
        <v/>
      </c>
      <c r="S6" s="20" t="str">
        <f>IFERROR(HLOOKUP(S4,Reference!33:34,2,0),"")</f>
        <v/>
      </c>
      <c r="T6" s="20" t="str">
        <f>IFERROR(HLOOKUP(T4,Reference!33:34,2,0),"")</f>
        <v/>
      </c>
      <c r="U6" s="20" t="str">
        <f>IFERROR(HLOOKUP(U4,Reference!33:34,2,0),"")</f>
        <v/>
      </c>
      <c r="V6" s="20" t="str">
        <f>IFERROR(HLOOKUP(V4,Reference!33:34,2,0),"")</f>
        <v/>
      </c>
      <c r="W6" s="20" t="str">
        <f>IFERROR(HLOOKUP(W4,Reference!33:34,2,0),"")</f>
        <v/>
      </c>
      <c r="X6" s="20" t="str">
        <f>IFERROR(HLOOKUP(X4,Reference!33:34,2,0),"")</f>
        <v/>
      </c>
      <c r="Y6" s="20" t="str">
        <f>IFERROR(HLOOKUP(Y4,Reference!33:34,2,0),"")</f>
        <v/>
      </c>
      <c r="Z6" s="20" t="str">
        <f>IFERROR(HLOOKUP(Z4,Reference!33:34,2,0),"")</f>
        <v/>
      </c>
      <c r="AA6" s="20" t="str">
        <f>IFERROR(HLOOKUP(AA4,Reference!33:34,2,0),"")</f>
        <v/>
      </c>
      <c r="AB6" s="20" t="str">
        <f>IFERROR(HLOOKUP(AB4,Reference!33:34,2,0),"")</f>
        <v/>
      </c>
      <c r="AC6" s="20" t="str">
        <f>IFERROR(HLOOKUP(AC4,Reference!33:34,2,0),"")</f>
        <v/>
      </c>
      <c r="AD6" s="20" t="str">
        <f>IFERROR(HLOOKUP(AD4,Reference!33:34,2,0),"")</f>
        <v/>
      </c>
      <c r="AE6" s="20" t="str">
        <f>IFERROR(HLOOKUP(AE4,Reference!33:34,2,0),"")</f>
        <v/>
      </c>
      <c r="AF6" s="20" t="str">
        <f>IFERROR(HLOOKUP(AF4,Reference!33:34,2,0),"")</f>
        <v/>
      </c>
      <c r="AG6" s="20" t="str">
        <f>IFERROR(HLOOKUP(AG4,Reference!33:34,2,0),"")</f>
        <v/>
      </c>
      <c r="AH6" s="20" t="str">
        <f>IFERROR(HLOOKUP(AH4,Reference!33:34,2,0),"")</f>
        <v/>
      </c>
      <c r="AI6" s="20" t="str">
        <f>IFERROR(HLOOKUP(AI4,Reference!33:34,2,0),"")</f>
        <v/>
      </c>
      <c r="AJ6" s="20" t="str">
        <f>IFERROR(HLOOKUP(AJ4,Reference!33:34,2,0),"")</f>
        <v/>
      </c>
      <c r="AK6" s="20" t="str">
        <f>IFERROR(HLOOKUP(AK4,Reference!33:34,2,0),"")</f>
        <v/>
      </c>
      <c r="AL6" s="20" t="str">
        <f>IFERROR(HLOOKUP(AL4,Reference!33:34,2,0),"")</f>
        <v/>
      </c>
      <c r="AM6" s="180"/>
      <c r="AN6" s="185"/>
      <c r="AO6" s="185"/>
      <c r="AP6" s="119"/>
      <c r="AQ6" s="180"/>
      <c r="AR6" s="185"/>
      <c r="AS6" s="187"/>
      <c r="AT6" s="180"/>
      <c r="AU6" s="185"/>
      <c r="AV6" s="205"/>
      <c r="AW6" s="202"/>
    </row>
    <row r="7" spans="1:50">
      <c r="A7" s="164">
        <v>0</v>
      </c>
      <c r="B7" s="192">
        <v>12345</v>
      </c>
      <c r="C7" s="192" t="s">
        <v>89</v>
      </c>
      <c r="D7" s="192">
        <v>105</v>
      </c>
      <c r="E7" s="192"/>
      <c r="F7" s="188"/>
      <c r="G7" s="23" t="s">
        <v>90</v>
      </c>
      <c r="H7" s="1">
        <v>1</v>
      </c>
      <c r="I7" s="2">
        <v>1</v>
      </c>
      <c r="J7" s="2">
        <v>1</v>
      </c>
      <c r="K7" s="2">
        <v>1</v>
      </c>
      <c r="L7" s="2">
        <v>1</v>
      </c>
      <c r="M7" s="2">
        <v>1</v>
      </c>
      <c r="N7" s="2">
        <v>1</v>
      </c>
      <c r="O7" s="2">
        <v>1</v>
      </c>
      <c r="P7" s="2">
        <v>1</v>
      </c>
      <c r="Q7" s="2">
        <v>1</v>
      </c>
      <c r="R7" s="2">
        <v>1</v>
      </c>
      <c r="S7" s="2">
        <v>1</v>
      </c>
      <c r="T7" s="2">
        <v>1</v>
      </c>
      <c r="U7" s="2">
        <v>1</v>
      </c>
      <c r="V7" s="2">
        <v>1</v>
      </c>
      <c r="W7" s="2">
        <v>1</v>
      </c>
      <c r="X7" s="2">
        <v>1</v>
      </c>
      <c r="Y7" s="2">
        <v>1</v>
      </c>
      <c r="Z7" s="2">
        <v>1</v>
      </c>
      <c r="AA7" s="2">
        <v>1</v>
      </c>
      <c r="AB7" s="2">
        <v>1</v>
      </c>
      <c r="AC7" s="2">
        <v>1</v>
      </c>
      <c r="AD7" s="2">
        <v>1</v>
      </c>
      <c r="AE7" s="2">
        <v>1</v>
      </c>
      <c r="AF7" s="2">
        <v>1</v>
      </c>
      <c r="AG7" s="2">
        <v>1</v>
      </c>
      <c r="AH7" s="2">
        <v>1</v>
      </c>
      <c r="AI7" s="2">
        <v>1</v>
      </c>
      <c r="AJ7" s="2">
        <v>1</v>
      </c>
      <c r="AK7" s="2">
        <v>1</v>
      </c>
      <c r="AL7" s="3">
        <v>1</v>
      </c>
      <c r="AM7" s="190">
        <v>8</v>
      </c>
      <c r="AN7" s="192">
        <v>20.5</v>
      </c>
      <c r="AO7" s="194">
        <v>6</v>
      </c>
      <c r="AP7" s="188">
        <v>500</v>
      </c>
      <c r="AQ7" s="206" t="e" cm="1">
        <f t="array" ref="AQ7">((SUMPRODUCT(($H$5:$AL$5="Mon")*($H$6:$AL$6&lt;&gt;"PH")*($H$6:$AL$6&lt;&gt;"RH")*($H$6:$AL$6&lt;&gt;"SRD"),H7:AL7)+SUMPRODUCT(($H$5:$AL$5="Tue")*($H$6:$AL$6&lt;&gt;"PH")*($H$6:$AL$6&lt;&gt;"RH")*($H$6:$AL$6&lt;&gt;"SRD"),H7:AL7)+SUMPRODUCT(($H$5:$AL$5="Wed")*($H$6:$AL$6&lt;&gt;"PH")*($H$6:$AL$6&lt;&gt;"RH")*($H$6:$AL$6&lt;&gt;"SRD"),H7:AL7)+SUMPRODUCT(($H$5:$AL$5="Thu")*($H$6:$AL$6&lt;&gt;"PH")*($H$6:$AL$6&lt;&gt;"RH")*($H$6:$AL$6&lt;&gt;"SRD"),H7:AL7)+SUMPRODUCT(($H$5:$AL$5="Fri")*($H$6:$AL$6&lt;&gt;"PH")*($H$6:$AL$6&lt;&gt;"RH")*($H$6:$AL$6&lt;&gt;"SRD"),H7:AL7))+(SUMPRODUCT(($H$5:$AL$5="Mon")*($H$6:$AL$6&lt;&gt;"PH")*($H$6:$AL$6&lt;&gt;"RH")*($H$6:$AL$6&lt;&gt;"SRD"),H8:AL8)+SUMPRODUCT(($H$5:$AL$5="Tue")*($H$6:$AL$6&lt;&gt;"PH")*($H$6:$AL$6&lt;&gt;"RH")*($H$6:$AL$6&lt;&gt;"SRD"),H8:AL8)+SUMPRODUCT(($H$5:$AL$5="Wed")*($H$6:$AL$6&lt;&gt;"PH")*($H$6:$AL$6&lt;&gt;"RH")*($H$6:$AL$6&lt;&gt;"SRD"),H8:AL8)+SUMPRODUCT(($H$5:$AL$5="Thu")*($H$6:$AL$6&lt;&gt;"PH")*($H$6:$AL$6&lt;&gt;"RH")*($H$6:$AL$6&lt;&gt;"SRD"),H8:AL8)+SUMPRODUCT(($H$5:$AL$5="Fri")*($H$6:$AL$6&lt;&gt;"PH")*($H$6:$AL$6&lt;&gt;"RH")*($H$6:$AL$6&lt;&gt;"SRD"),H8:AL8)))/2
+((SUMPRODUCT(($H$5:$AL$5="Sat")*($H$6:$AL$6="SWD"),H7:AL7)+SUMPRODUCT(($H$5:$AL$5="Sun")*($H$6:$AL$6="SWD"),H7:AL7)+SUMPRODUCT(($H$5:$AL$5="Sat")*($H$6:$AL$6="SWD"),H8:AL8)+SUMPRODUCT(($H$5:$AL$5="Sun")*($H$6:$AL$6="SWD"),H8:AL8))/2)</f>
        <v>#VALUE!</v>
      </c>
      <c r="AR7" s="208" t="e" cm="1">
        <f t="array" ref="AR7">((SUMPRODUCT(($H$5:$AL$5="Sat")*($H$6:$AL$6&lt;&gt;"PH")*($H$6:$AL$6&lt;&gt;"SWD"),H7:AL7)+SUMPRODUCT(($H$5:$AL$5="Sun")*($H$6:$AL$6&lt;&gt;"PH")*($H$6:$AL$6&lt;&gt;"SWD"),H7:AL7)+((SUMPRODUCT(($H$5:$AL$5="Mon")*($H$6:$AL$6="RH"),H7:AL7)+((SUMPRODUCT(($H$5:$AL$5="Tue")*($H$6:$AL$6="RH"),H7:AL7)+((SUMPRODUCT(($H$5:$AL$5="Wed")*($H$6:$AL$6="RH"),H7:AL7)+((SUMPRODUCT(($H$5:$AL$5="Thu")*($H$6:$AL$6="RH"),H7:AL7)+((SUMPRODUCT(($H$5:$AL$5="Fri")*($H$6:$AL$6="RH"),H7:AL7)+(SUMPRODUCT(($H$5:$AL$5="Sat")*($H$6:$AL$6&lt;&gt;"PH")*($H$6:$AL$6&lt;&gt;"SWD"),H8:AL8)+SUMPRODUCT(($H$5:$AL$5="Sun")*($H$6:$AL$6&lt;&gt;"PH")*($H$6:$AL$6&lt;&gt;"SWD"),H8:AL8)+((SUMPRODUCT(($H$5:$AL$5="Mon")*($H$6:$AL$6="RH"),H8:AL8)+((SUMPRODUCT(($H$5:$AL$5="Tue")*($H$6:$AL$6="RH"),H8:AL8)+((SUMPRODUCT(($H$5:$AL$5="Wed")*($H$6:$AL$6="RH"),H8:AL8)+((SUMPRODUCT(($H$5:$AL$5="Thu")*($H$6:$AL$6="RH"),H8:AL8)+((SUMPRODUCT(($H$5:$AL$5="Fri")*($H$6:$AL$6="RH"),H8:AL8))))))))))))))))))))))))/2
+((SUMPRODUCT(($H$5:$AL$5="Mon")*($H$6:$AL$6="SRD"),H7:AL7)+((SUMPRODUCT(($H$5:$AL$5="Tue")*($H$6:$AL$6="SRD"),H7:AL7)+((SUMPRODUCT(($H$5:$AL$5="Wed")*($H$6:$AL$6="SRD"),H7:AL7)+((SUMPRODUCT(($H$5:$AL$5="Thu")*($H$6:$AL$6="SRD"),H7:AL7)+((SUMPRODUCT(($H$5:$AL$5="Fri")*($H$6:$AL$6="SRD"),H7:AL7)+((SUMPRODUCT(($H$5:$AL$5="Mon")*($H$6:$AL$6="SRD"),H8:AL8)+((SUMPRODUCT(($H$5:$AL$5="Tue")*($H$6:$AL$6="SRD"),H8:AL8)+((SUMPRODUCT(($H$5:$AL$5="Wed")*($H$6:$AL$6="SRD"),H8:AL8)+((SUMPRODUCT(($H$5:$AL$5="Thu")*($H$6:$AL$6="SRD"),H8:AL8)+((SUMPRODUCT(($H$5:$AL$5="Fri")*($H$6:$AL$6="SRD"),H8:AL8)))))))))))))))))))))/2</f>
        <v>#VALUE!</v>
      </c>
      <c r="AS7" s="158">
        <f>(SUMIF($H$6:$AL$6,"PH",H7:AL7)+SUMIF($H$6:$AL$6,"PH",H8:AL8))/2</f>
        <v>0</v>
      </c>
      <c r="AT7" s="154">
        <f>ROUND(D7/8*AM7*1.5,2)</f>
        <v>157.5</v>
      </c>
      <c r="AU7" s="156">
        <f>ROUND(D7/8*AN7*2,2)</f>
        <v>538.13</v>
      </c>
      <c r="AV7" s="160">
        <f>ROUND(D7/8*AO7*3,2)</f>
        <v>236.25</v>
      </c>
      <c r="AW7" s="162" t="e">
        <f>(D7*(AQ7+2*AR7+3*AS7))+AT7+AU7+AV7+AP7</f>
        <v>#VALUE!</v>
      </c>
    </row>
    <row r="8" spans="1:50" ht="15" thickBot="1">
      <c r="A8" s="165"/>
      <c r="B8" s="193"/>
      <c r="C8" s="193"/>
      <c r="D8" s="193"/>
      <c r="E8" s="193"/>
      <c r="F8" s="189"/>
      <c r="G8" s="27" t="s">
        <v>91</v>
      </c>
      <c r="H8" s="4">
        <v>1</v>
      </c>
      <c r="I8" s="5">
        <v>1</v>
      </c>
      <c r="J8" s="5">
        <v>1</v>
      </c>
      <c r="K8" s="5">
        <v>1</v>
      </c>
      <c r="L8" s="5">
        <v>1</v>
      </c>
      <c r="M8" s="5">
        <v>1</v>
      </c>
      <c r="N8" s="5">
        <v>1</v>
      </c>
      <c r="O8" s="5">
        <v>1</v>
      </c>
      <c r="P8" s="5">
        <v>1</v>
      </c>
      <c r="Q8" s="5">
        <v>1</v>
      </c>
      <c r="R8" s="5">
        <v>1</v>
      </c>
      <c r="S8" s="5">
        <v>1</v>
      </c>
      <c r="T8" s="5">
        <v>1</v>
      </c>
      <c r="U8" s="5">
        <v>1</v>
      </c>
      <c r="V8" s="5">
        <v>1</v>
      </c>
      <c r="W8" s="5">
        <v>1</v>
      </c>
      <c r="X8" s="5">
        <v>1</v>
      </c>
      <c r="Y8" s="5">
        <v>1</v>
      </c>
      <c r="Z8" s="5">
        <v>1</v>
      </c>
      <c r="AA8" s="5">
        <v>1</v>
      </c>
      <c r="AB8" s="5">
        <v>1</v>
      </c>
      <c r="AC8" s="5">
        <v>1</v>
      </c>
      <c r="AD8" s="5">
        <v>1</v>
      </c>
      <c r="AE8" s="5">
        <v>1</v>
      </c>
      <c r="AF8" s="5">
        <v>1</v>
      </c>
      <c r="AG8" s="5">
        <v>1</v>
      </c>
      <c r="AH8" s="5">
        <v>1</v>
      </c>
      <c r="AI8" s="5">
        <v>1</v>
      </c>
      <c r="AJ8" s="5">
        <v>1</v>
      </c>
      <c r="AK8" s="5">
        <v>1</v>
      </c>
      <c r="AL8" s="6">
        <v>1</v>
      </c>
      <c r="AM8" s="191"/>
      <c r="AN8" s="193"/>
      <c r="AO8" s="195"/>
      <c r="AP8" s="189"/>
      <c r="AQ8" s="207"/>
      <c r="AR8" s="209"/>
      <c r="AS8" s="159"/>
      <c r="AT8" s="155"/>
      <c r="AU8" s="157"/>
      <c r="AV8" s="161"/>
      <c r="AW8" s="163"/>
    </row>
    <row r="9" spans="1:50">
      <c r="A9" s="164">
        <v>1</v>
      </c>
      <c r="B9" s="192"/>
      <c r="C9" s="192"/>
      <c r="D9" s="192"/>
      <c r="E9" s="166"/>
      <c r="F9" s="168"/>
      <c r="G9" s="23" t="s">
        <v>90</v>
      </c>
      <c r="H9" s="1"/>
      <c r="I9" s="2"/>
      <c r="J9" s="2"/>
      <c r="K9" s="2"/>
      <c r="L9" s="2"/>
      <c r="M9" s="2"/>
      <c r="N9" s="2"/>
      <c r="O9" s="2"/>
      <c r="P9" s="2"/>
      <c r="Q9" s="2"/>
      <c r="R9" s="2"/>
      <c r="S9" s="2"/>
      <c r="T9" s="2"/>
      <c r="U9" s="2"/>
      <c r="V9" s="2"/>
      <c r="W9" s="2"/>
      <c r="X9" s="2"/>
      <c r="Y9" s="2"/>
      <c r="Z9" s="2"/>
      <c r="AA9" s="2"/>
      <c r="AB9" s="2"/>
      <c r="AC9" s="2"/>
      <c r="AD9" s="2"/>
      <c r="AE9" s="2"/>
      <c r="AF9" s="2"/>
      <c r="AG9" s="2"/>
      <c r="AH9" s="2"/>
      <c r="AI9" s="2"/>
      <c r="AJ9" s="2"/>
      <c r="AK9" s="2"/>
      <c r="AL9" s="3"/>
      <c r="AM9" s="190"/>
      <c r="AN9" s="192"/>
      <c r="AO9" s="194"/>
      <c r="AP9" s="188"/>
      <c r="AQ9" s="206" t="e" cm="1">
        <f t="array" ref="AQ9">((SUMPRODUCT(($H$5:$AL$5="Mon")*($H$6:$AL$6&lt;&gt;"PH")*($H$6:$AL$6&lt;&gt;"RH")*($H$6:$AL$6&lt;&gt;"SRD"),H9:AL9)+SUMPRODUCT(($H$5:$AL$5="Tue")*($H$6:$AL$6&lt;&gt;"PH")*($H$6:$AL$6&lt;&gt;"RH")*($H$6:$AL$6&lt;&gt;"SRD"),H9:AL9)+SUMPRODUCT(($H$5:$AL$5="Wed")*($H$6:$AL$6&lt;&gt;"PH")*($H$6:$AL$6&lt;&gt;"RH")*($H$6:$AL$6&lt;&gt;"SRD"),H9:AL9)+SUMPRODUCT(($H$5:$AL$5="Thu")*($H$6:$AL$6&lt;&gt;"PH")*($H$6:$AL$6&lt;&gt;"RH")*($H$6:$AL$6&lt;&gt;"SRD"),H9:AL9)+SUMPRODUCT(($H$5:$AL$5="Fri")*($H$6:$AL$6&lt;&gt;"PH")*($H$6:$AL$6&lt;&gt;"RH")*($H$6:$AL$6&lt;&gt;"SRD"),H9:AL9))+(SUMPRODUCT(($H$5:$AL$5="Mon")*($H$6:$AL$6&lt;&gt;"PH")*($H$6:$AL$6&lt;&gt;"RH")*($H$6:$AL$6&lt;&gt;"SRD"),H10:AL10)+SUMPRODUCT(($H$5:$AL$5="Tue")*($H$6:$AL$6&lt;&gt;"PH")*($H$6:$AL$6&lt;&gt;"RH")*($H$6:$AL$6&lt;&gt;"SRD"),H10:AL10)+SUMPRODUCT(($H$5:$AL$5="Wed")*($H$6:$AL$6&lt;&gt;"PH")*($H$6:$AL$6&lt;&gt;"RH")*($H$6:$AL$6&lt;&gt;"SRD"),H10:AL10)+SUMPRODUCT(($H$5:$AL$5="Thu")*($H$6:$AL$6&lt;&gt;"PH")*($H$6:$AL$6&lt;&gt;"RH")*($H$6:$AL$6&lt;&gt;"SRD"),H10:AL10)+SUMPRODUCT(($H$5:$AL$5="Fri")*($H$6:$AL$6&lt;&gt;"PH")*($H$6:$AL$6&lt;&gt;"RH")*($H$6:$AL$6&lt;&gt;"SRD"),H10:AL10)))/2
+((SUMPRODUCT(($H$5:$AL$5="Sat")*($H$6:$AL$6="SWD"),H9:AL9)+SUMPRODUCT(($H$5:$AL$5="Sun")*($H$6:$AL$6="SWD"),H9:AL9)+SUMPRODUCT(($H$5:$AL$5="Sat")*($H$6:$AL$6="SWD"),H10:AL10)+SUMPRODUCT(($H$5:$AL$5="Sun")*($H$6:$AL$6="SWD"),H10:AL10))/2)</f>
        <v>#VALUE!</v>
      </c>
      <c r="AR9" s="208" t="e" cm="1">
        <f t="array" ref="AR9">((SUMPRODUCT(($H$5:$AL$5="Sat")*($H$6:$AL$6&lt;&gt;"PH")*($H$6:$AL$6&lt;&gt;"SWD"),H9:AL9)+SUMPRODUCT(($H$5:$AL$5="Sun")*($H$6:$AL$6&lt;&gt;"PH")*($H$6:$AL$6&lt;&gt;"SWD"),H9:AL9)+((SUMPRODUCT(($H$5:$AL$5="Mon")*($H$6:$AL$6="RH"),H9:AL9)+((SUMPRODUCT(($H$5:$AL$5="Tue")*($H$6:$AL$6="RH"),H9:AL9)+((SUMPRODUCT(($H$5:$AL$5="Wed")*($H$6:$AL$6="RH"),H9:AL9)+((SUMPRODUCT(($H$5:$AL$5="Thu")*($H$6:$AL$6="RH"),H9:AL9)+((SUMPRODUCT(($H$5:$AL$5="Fri")*($H$6:$AL$6="RH"),H9:AL9)+(SUMPRODUCT(($H$5:$AL$5="Sat")*($H$6:$AL$6&lt;&gt;"PH")*($H$6:$AL$6&lt;&gt;"SWD"),H10:AL10)+SUMPRODUCT(($H$5:$AL$5="Sun")*($H$6:$AL$6&lt;&gt;"PH")*($H$6:$AL$6&lt;&gt;"SWD"),H10:AL10)+((SUMPRODUCT(($H$5:$AL$5="Mon")*($H$6:$AL$6="RH"),H10:AL10)+((SUMPRODUCT(($H$5:$AL$5="Tue")*($H$6:$AL$6="RH"),H10:AL10)+((SUMPRODUCT(($H$5:$AL$5="Wed")*($H$6:$AL$6="RH"),H10:AL10)+((SUMPRODUCT(($H$5:$AL$5="Thu")*($H$6:$AL$6="RH"),H10:AL10)+((SUMPRODUCT(($H$5:$AL$5="Fri")*($H$6:$AL$6="RH"),H10:AL10))))))))))))))))))))))))/2
+((SUMPRODUCT(($H$5:$AL$5="Mon")*($H$6:$AL$6="SRD"),H9:AL9)+((SUMPRODUCT(($H$5:$AL$5="Tue")*($H$6:$AL$6="SRD"),H9:AL9)+((SUMPRODUCT(($H$5:$AL$5="Wed")*($H$6:$AL$6="SRD"),H9:AL9)+((SUMPRODUCT(($H$5:$AL$5="Thu")*($H$6:$AL$6="SRD"),H9:AL9)+((SUMPRODUCT(($H$5:$AL$5="Fri")*($H$6:$AL$6="SRD"),H9:AL9)+((SUMPRODUCT(($H$5:$AL$5="Mon")*($H$6:$AL$6="SRD"),H10:AL10)+((SUMPRODUCT(($H$5:$AL$5="Tue")*($H$6:$AL$6="SRD"),H10:AL10)+((SUMPRODUCT(($H$5:$AL$5="Wed")*($H$6:$AL$6="SRD"),H10:AL10)+((SUMPRODUCT(($H$5:$AL$5="Thu")*($H$6:$AL$6="SRD"),H10:AL10)+((SUMPRODUCT(($H$5:$AL$5="Fri")*($H$6:$AL$6="SRD"),H10:AL10)))))))))))))))))))))/2</f>
        <v>#VALUE!</v>
      </c>
      <c r="AS9" s="158">
        <f t="shared" ref="AS9" si="1">(SUMIF($H$6:$AL$6,"PH",H9:AL9)+SUMIF($H$6:$AL$6,"PH",H10:AL10))/2</f>
        <v>0</v>
      </c>
      <c r="AT9" s="154">
        <f t="shared" ref="AT9" si="2">ROUND(D9/8*AM9*1.5,2)</f>
        <v>0</v>
      </c>
      <c r="AU9" s="156">
        <f t="shared" ref="AU9" si="3">ROUND(D9/8*AN9*2,2)</f>
        <v>0</v>
      </c>
      <c r="AV9" s="160">
        <f t="shared" ref="AV9" si="4">ROUND(D9/8*AO9*3,2)</f>
        <v>0</v>
      </c>
      <c r="AW9" s="162" t="e">
        <f>(D9*(AQ9+2*AR9+3*AS9))+AT9+AU9+AV9+AP9</f>
        <v>#VALUE!</v>
      </c>
    </row>
    <row r="10" spans="1:50" ht="15" thickBot="1">
      <c r="A10" s="165"/>
      <c r="B10" s="193"/>
      <c r="C10" s="193"/>
      <c r="D10" s="193"/>
      <c r="E10" s="167"/>
      <c r="F10" s="169"/>
      <c r="G10" s="27" t="s">
        <v>91</v>
      </c>
      <c r="H10" s="4"/>
      <c r="I10" s="5"/>
      <c r="J10" s="5"/>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6"/>
      <c r="AM10" s="191"/>
      <c r="AN10" s="193"/>
      <c r="AO10" s="195"/>
      <c r="AP10" s="189"/>
      <c r="AQ10" s="207"/>
      <c r="AR10" s="209"/>
      <c r="AS10" s="159"/>
      <c r="AT10" s="155"/>
      <c r="AU10" s="157"/>
      <c r="AV10" s="161"/>
      <c r="AW10" s="163"/>
      <c r="AX10" s="31"/>
    </row>
    <row r="11" spans="1:50">
      <c r="A11" s="164">
        <v>2</v>
      </c>
      <c r="B11" s="166"/>
      <c r="C11" s="166"/>
      <c r="D11" s="166"/>
      <c r="E11" s="166"/>
      <c r="F11" s="168"/>
      <c r="G11" s="23" t="s">
        <v>90</v>
      </c>
      <c r="H11" s="1"/>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c r="AK11" s="2"/>
      <c r="AL11" s="3"/>
      <c r="AM11" s="170"/>
      <c r="AN11" s="172"/>
      <c r="AO11" s="174"/>
      <c r="AP11" s="152"/>
      <c r="AQ11" s="206" t="e" cm="1">
        <f t="array" ref="AQ11">((SUMPRODUCT(($H$5:$AL$5="Mon")*($H$6:$AL$6&lt;&gt;"PH")*($H$6:$AL$6&lt;&gt;"RH")*($H$6:$AL$6&lt;&gt;"SRD"),H11:AL11)+SUMPRODUCT(($H$5:$AL$5="Tue")*($H$6:$AL$6&lt;&gt;"PH")*($H$6:$AL$6&lt;&gt;"RH")*($H$6:$AL$6&lt;&gt;"SRD"),H11:AL11)+SUMPRODUCT(($H$5:$AL$5="Wed")*($H$6:$AL$6&lt;&gt;"PH")*($H$6:$AL$6&lt;&gt;"RH")*($H$6:$AL$6&lt;&gt;"SRD"),H11:AL11)+SUMPRODUCT(($H$5:$AL$5="Thu")*($H$6:$AL$6&lt;&gt;"PH")*($H$6:$AL$6&lt;&gt;"RH")*($H$6:$AL$6&lt;&gt;"SRD"),H11:AL11)+SUMPRODUCT(($H$5:$AL$5="Fri")*($H$6:$AL$6&lt;&gt;"PH")*($H$6:$AL$6&lt;&gt;"RH")*($H$6:$AL$6&lt;&gt;"SRD"),H11:AL11))+(SUMPRODUCT(($H$5:$AL$5="Mon")*($H$6:$AL$6&lt;&gt;"PH")*($H$6:$AL$6&lt;&gt;"RH")*($H$6:$AL$6&lt;&gt;"SRD"),H12:AL12)+SUMPRODUCT(($H$5:$AL$5="Tue")*($H$6:$AL$6&lt;&gt;"PH")*($H$6:$AL$6&lt;&gt;"RH")*($H$6:$AL$6&lt;&gt;"SRD"),H12:AL12)+SUMPRODUCT(($H$5:$AL$5="Wed")*($H$6:$AL$6&lt;&gt;"PH")*($H$6:$AL$6&lt;&gt;"RH")*($H$6:$AL$6&lt;&gt;"SRD"),H12:AL12)+SUMPRODUCT(($H$5:$AL$5="Thu")*($H$6:$AL$6&lt;&gt;"PH")*($H$6:$AL$6&lt;&gt;"RH")*($H$6:$AL$6&lt;&gt;"SRD"),H12:AL12)+SUMPRODUCT(($H$5:$AL$5="Fri")*($H$6:$AL$6&lt;&gt;"PH")*($H$6:$AL$6&lt;&gt;"RH")*($H$6:$AL$6&lt;&gt;"SRD"),H12:AL12)))/2
+((SUMPRODUCT(($H$5:$AL$5="Sat")*($H$6:$AL$6="SWD"),H11:AL11)+SUMPRODUCT(($H$5:$AL$5="Sun")*($H$6:$AL$6="SWD"),H11:AL11)+SUMPRODUCT(($H$5:$AL$5="Sat")*($H$6:$AL$6="SWD"),H12:AL12)+SUMPRODUCT(($H$5:$AL$5="Sun")*($H$6:$AL$6="SWD"),H12:AL12))/2)</f>
        <v>#VALUE!</v>
      </c>
      <c r="AR11" s="208" t="e" cm="1">
        <f t="array" ref="AR11">((SUMPRODUCT(($H$5:$AL$5="Sat")*($H$6:$AL$6&lt;&gt;"PH")*($H$6:$AL$6&lt;&gt;"SWD"),H11:AL11)+SUMPRODUCT(($H$5:$AL$5="Sun")*($H$6:$AL$6&lt;&gt;"PH")*($H$6:$AL$6&lt;&gt;"SWD"),H11:AL11)+((SUMPRODUCT(($H$5:$AL$5="Mon")*($H$6:$AL$6="RH"),H11:AL11)+((SUMPRODUCT(($H$5:$AL$5="Tue")*($H$6:$AL$6="RH"),H11:AL11)+((SUMPRODUCT(($H$5:$AL$5="Wed")*($H$6:$AL$6="RH"),H11:AL11)+((SUMPRODUCT(($H$5:$AL$5="Thu")*($H$6:$AL$6="RH"),H11:AL11)+((SUMPRODUCT(($H$5:$AL$5="Fri")*($H$6:$AL$6="RH"),H11:AL11)+(SUMPRODUCT(($H$5:$AL$5="Sat")*($H$6:$AL$6&lt;&gt;"PH")*($H$6:$AL$6&lt;&gt;"SWD"),H12:AL12)+SUMPRODUCT(($H$5:$AL$5="Sun")*($H$6:$AL$6&lt;&gt;"PH")*($H$6:$AL$6&lt;&gt;"SWD"),H12:AL12)+((SUMPRODUCT(($H$5:$AL$5="Mon")*($H$6:$AL$6="RH"),H12:AL12)+((SUMPRODUCT(($H$5:$AL$5="Tue")*($H$6:$AL$6="RH"),H12:AL12)+((SUMPRODUCT(($H$5:$AL$5="Wed")*($H$6:$AL$6="RH"),H12:AL12)+((SUMPRODUCT(($H$5:$AL$5="Thu")*($H$6:$AL$6="RH"),H12:AL12)+((SUMPRODUCT(($H$5:$AL$5="Fri")*($H$6:$AL$6="RH"),H12:AL12))))))))))))))))))))))))/2
+((SUMPRODUCT(($H$5:$AL$5="Mon")*($H$6:$AL$6="SRD"),H11:AL11)+((SUMPRODUCT(($H$5:$AL$5="Tue")*($H$6:$AL$6="SRD"),H11:AL11)+((SUMPRODUCT(($H$5:$AL$5="Wed")*($H$6:$AL$6="SRD"),H11:AL11)+((SUMPRODUCT(($H$5:$AL$5="Thu")*($H$6:$AL$6="SRD"),H11:AL11)+((SUMPRODUCT(($H$5:$AL$5="Fri")*($H$6:$AL$6="SRD"),H11:AL11)+((SUMPRODUCT(($H$5:$AL$5="Mon")*($H$6:$AL$6="SRD"),H12:AL12)+((SUMPRODUCT(($H$5:$AL$5="Tue")*($H$6:$AL$6="SRD"),H12:AL12)+((SUMPRODUCT(($H$5:$AL$5="Wed")*($H$6:$AL$6="SRD"),H12:AL12)+((SUMPRODUCT(($H$5:$AL$5="Thu")*($H$6:$AL$6="SRD"),H12:AL12)+((SUMPRODUCT(($H$5:$AL$5="Fri")*($H$6:$AL$6="SRD"),H12:AL12)))))))))))))))))))))/2</f>
        <v>#VALUE!</v>
      </c>
      <c r="AS11" s="158">
        <f t="shared" ref="AS11" si="5">(SUMIF($H$6:$AL$6,"PH",H11:AL11)+SUMIF($H$6:$AL$6,"PH",H12:AL12))/2</f>
        <v>0</v>
      </c>
      <c r="AT11" s="154">
        <f t="shared" ref="AT11" si="6">ROUND(D11/8*AM11*1.5,2)</f>
        <v>0</v>
      </c>
      <c r="AU11" s="156">
        <f t="shared" ref="AU11" si="7">ROUND(D11/8*AN11*2,2)</f>
        <v>0</v>
      </c>
      <c r="AV11" s="160">
        <f t="shared" ref="AV11" si="8">ROUND(D11/8*AO11*3,2)</f>
        <v>0</v>
      </c>
      <c r="AW11" s="162" t="e">
        <f t="shared" ref="AW11" si="9">(D11*(AQ11+2*AR11+3*AS11))+AT11+AU11+AV11+AP11</f>
        <v>#VALUE!</v>
      </c>
      <c r="AX11" s="31"/>
    </row>
    <row r="12" spans="1:50" ht="15" thickBot="1">
      <c r="A12" s="165"/>
      <c r="B12" s="167"/>
      <c r="C12" s="167"/>
      <c r="D12" s="167"/>
      <c r="E12" s="167"/>
      <c r="F12" s="169"/>
      <c r="G12" s="27" t="s">
        <v>91</v>
      </c>
      <c r="H12" s="4"/>
      <c r="I12" s="5"/>
      <c r="J12" s="5"/>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6"/>
      <c r="AM12" s="171"/>
      <c r="AN12" s="173"/>
      <c r="AO12" s="175"/>
      <c r="AP12" s="153"/>
      <c r="AQ12" s="207"/>
      <c r="AR12" s="209"/>
      <c r="AS12" s="159"/>
      <c r="AT12" s="155"/>
      <c r="AU12" s="157"/>
      <c r="AV12" s="161"/>
      <c r="AW12" s="163"/>
    </row>
    <row r="13" spans="1:50">
      <c r="A13" s="164">
        <v>3</v>
      </c>
      <c r="B13" s="166"/>
      <c r="C13" s="166"/>
      <c r="D13" s="166"/>
      <c r="E13" s="166"/>
      <c r="F13" s="168"/>
      <c r="G13" s="23" t="s">
        <v>90</v>
      </c>
      <c r="H13" s="1"/>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3"/>
      <c r="AM13" s="170"/>
      <c r="AN13" s="172"/>
      <c r="AO13" s="174"/>
      <c r="AP13" s="152"/>
      <c r="AQ13" s="206" t="e" cm="1">
        <f t="array" ref="AQ13">((SUMPRODUCT(($H$5:$AL$5="Mon")*($H$6:$AL$6&lt;&gt;"PH")*($H$6:$AL$6&lt;&gt;"RH")*($H$6:$AL$6&lt;&gt;"SRD"),H13:AL13)+SUMPRODUCT(($H$5:$AL$5="Tue")*($H$6:$AL$6&lt;&gt;"PH")*($H$6:$AL$6&lt;&gt;"RH")*($H$6:$AL$6&lt;&gt;"SRD"),H13:AL13)+SUMPRODUCT(($H$5:$AL$5="Wed")*($H$6:$AL$6&lt;&gt;"PH")*($H$6:$AL$6&lt;&gt;"RH")*($H$6:$AL$6&lt;&gt;"SRD"),H13:AL13)+SUMPRODUCT(($H$5:$AL$5="Thu")*($H$6:$AL$6&lt;&gt;"PH")*($H$6:$AL$6&lt;&gt;"RH")*($H$6:$AL$6&lt;&gt;"SRD"),H13:AL13)+SUMPRODUCT(($H$5:$AL$5="Fri")*($H$6:$AL$6&lt;&gt;"PH")*($H$6:$AL$6&lt;&gt;"RH")*($H$6:$AL$6&lt;&gt;"SRD"),H13:AL13))+(SUMPRODUCT(($H$5:$AL$5="Mon")*($H$6:$AL$6&lt;&gt;"PH")*($H$6:$AL$6&lt;&gt;"RH")*($H$6:$AL$6&lt;&gt;"SRD"),H14:AL14)+SUMPRODUCT(($H$5:$AL$5="Tue")*($H$6:$AL$6&lt;&gt;"PH")*($H$6:$AL$6&lt;&gt;"RH")*($H$6:$AL$6&lt;&gt;"SRD"),H14:AL14)+SUMPRODUCT(($H$5:$AL$5="Wed")*($H$6:$AL$6&lt;&gt;"PH")*($H$6:$AL$6&lt;&gt;"RH")*($H$6:$AL$6&lt;&gt;"SRD"),H14:AL14)+SUMPRODUCT(($H$5:$AL$5="Thu")*($H$6:$AL$6&lt;&gt;"PH")*($H$6:$AL$6&lt;&gt;"RH")*($H$6:$AL$6&lt;&gt;"SRD"),H14:AL14)+SUMPRODUCT(($H$5:$AL$5="Fri")*($H$6:$AL$6&lt;&gt;"PH")*($H$6:$AL$6&lt;&gt;"RH")*($H$6:$AL$6&lt;&gt;"SRD"),H14:AL14)))/2
+((SUMPRODUCT(($H$5:$AL$5="Sat")*($H$6:$AL$6="SWD"),H13:AL13)+SUMPRODUCT(($H$5:$AL$5="Sun")*($H$6:$AL$6="SWD"),H13:AL13)+SUMPRODUCT(($H$5:$AL$5="Sat")*($H$6:$AL$6="SWD"),H14:AL14)+SUMPRODUCT(($H$5:$AL$5="Sun")*($H$6:$AL$6="SWD"),H14:AL14))/2)</f>
        <v>#VALUE!</v>
      </c>
      <c r="AR13" s="208" t="e" cm="1">
        <f t="array" ref="AR13">((SUMPRODUCT(($H$5:$AL$5="Sat")*($H$6:$AL$6&lt;&gt;"PH")*($H$6:$AL$6&lt;&gt;"SWD"),H13:AL13)+SUMPRODUCT(($H$5:$AL$5="Sun")*($H$6:$AL$6&lt;&gt;"PH")*($H$6:$AL$6&lt;&gt;"SWD"),H13:AL13)+((SUMPRODUCT(($H$5:$AL$5="Mon")*($H$6:$AL$6="RH"),H13:AL13)+((SUMPRODUCT(($H$5:$AL$5="Tue")*($H$6:$AL$6="RH"),H13:AL13)+((SUMPRODUCT(($H$5:$AL$5="Wed")*($H$6:$AL$6="RH"),H13:AL13)+((SUMPRODUCT(($H$5:$AL$5="Thu")*($H$6:$AL$6="RH"),H13:AL13)+((SUMPRODUCT(($H$5:$AL$5="Fri")*($H$6:$AL$6="RH"),H13:AL13)+(SUMPRODUCT(($H$5:$AL$5="Sat")*($H$6:$AL$6&lt;&gt;"PH")*($H$6:$AL$6&lt;&gt;"SWD"),H14:AL14)+SUMPRODUCT(($H$5:$AL$5="Sun")*($H$6:$AL$6&lt;&gt;"PH")*($H$6:$AL$6&lt;&gt;"SWD"),H14:AL14)+((SUMPRODUCT(($H$5:$AL$5="Mon")*($H$6:$AL$6="RH"),H14:AL14)+((SUMPRODUCT(($H$5:$AL$5="Tue")*($H$6:$AL$6="RH"),H14:AL14)+((SUMPRODUCT(($H$5:$AL$5="Wed")*($H$6:$AL$6="RH"),H14:AL14)+((SUMPRODUCT(($H$5:$AL$5="Thu")*($H$6:$AL$6="RH"),H14:AL14)+((SUMPRODUCT(($H$5:$AL$5="Fri")*($H$6:$AL$6="RH"),H14:AL14))))))))))))))))))))))))/2
+((SUMPRODUCT(($H$5:$AL$5="Mon")*($H$6:$AL$6="SRD"),H13:AL13)+((SUMPRODUCT(($H$5:$AL$5="Tue")*($H$6:$AL$6="SRD"),H13:AL13)+((SUMPRODUCT(($H$5:$AL$5="Wed")*($H$6:$AL$6="SRD"),H13:AL13)+((SUMPRODUCT(($H$5:$AL$5="Thu")*($H$6:$AL$6="SRD"),H13:AL13)+((SUMPRODUCT(($H$5:$AL$5="Fri")*($H$6:$AL$6="SRD"),H13:AL13)+((SUMPRODUCT(($H$5:$AL$5="Mon")*($H$6:$AL$6="SRD"),H14:AL14)+((SUMPRODUCT(($H$5:$AL$5="Tue")*($H$6:$AL$6="SRD"),H14:AL14)+((SUMPRODUCT(($H$5:$AL$5="Wed")*($H$6:$AL$6="SRD"),H14:AL14)+((SUMPRODUCT(($H$5:$AL$5="Thu")*($H$6:$AL$6="SRD"),H14:AL14)+((SUMPRODUCT(($H$5:$AL$5="Fri")*($H$6:$AL$6="SRD"),H14:AL14)))))))))))))))))))))/2</f>
        <v>#VALUE!</v>
      </c>
      <c r="AS13" s="158">
        <f t="shared" ref="AS13" si="10">(SUMIF($H$6:$AL$6,"PH",H13:AL13)+SUMIF($H$6:$AL$6,"PH",H14:AL14))/2</f>
        <v>0</v>
      </c>
      <c r="AT13" s="154">
        <f t="shared" ref="AT13" si="11">ROUND(D13/8*AM13*1.5,2)</f>
        <v>0</v>
      </c>
      <c r="AU13" s="156">
        <f t="shared" ref="AU13" si="12">ROUND(D13/8*AN13*2,2)</f>
        <v>0</v>
      </c>
      <c r="AV13" s="160">
        <f t="shared" ref="AV13" si="13">ROUND(D13/8*AO13*3,2)</f>
        <v>0</v>
      </c>
      <c r="AW13" s="162" t="e">
        <f>(D13*(AQ13+2*AR13+3*AS13))+AT13+AU13+AV13+AP13</f>
        <v>#VALUE!</v>
      </c>
    </row>
    <row r="14" spans="1:50" ht="15" thickBot="1">
      <c r="A14" s="165"/>
      <c r="B14" s="167"/>
      <c r="C14" s="167"/>
      <c r="D14" s="167"/>
      <c r="E14" s="167"/>
      <c r="F14" s="169"/>
      <c r="G14" s="27" t="s">
        <v>91</v>
      </c>
      <c r="H14" s="4"/>
      <c r="I14" s="5"/>
      <c r="J14" s="5"/>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6"/>
      <c r="AM14" s="171"/>
      <c r="AN14" s="173"/>
      <c r="AO14" s="175"/>
      <c r="AP14" s="153"/>
      <c r="AQ14" s="207"/>
      <c r="AR14" s="209"/>
      <c r="AS14" s="159"/>
      <c r="AT14" s="155"/>
      <c r="AU14" s="157"/>
      <c r="AV14" s="161"/>
      <c r="AW14" s="163"/>
    </row>
    <row r="15" spans="1:50">
      <c r="A15" s="164">
        <v>4</v>
      </c>
      <c r="B15" s="166"/>
      <c r="C15" s="166"/>
      <c r="D15" s="166"/>
      <c r="E15" s="166"/>
      <c r="F15" s="168"/>
      <c r="G15" s="23" t="s">
        <v>90</v>
      </c>
      <c r="H15" s="1"/>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c r="AK15" s="2"/>
      <c r="AL15" s="3"/>
      <c r="AM15" s="170"/>
      <c r="AN15" s="172"/>
      <c r="AO15" s="174"/>
      <c r="AP15" s="152"/>
      <c r="AQ15" s="206" t="e" cm="1">
        <f t="array" ref="AQ15">((SUMPRODUCT(($H$5:$AL$5="Mon")*($H$6:$AL$6&lt;&gt;"PH")*($H$6:$AL$6&lt;&gt;"RH")*($H$6:$AL$6&lt;&gt;"SRD"),H15:AL15)+SUMPRODUCT(($H$5:$AL$5="Tue")*($H$6:$AL$6&lt;&gt;"PH")*($H$6:$AL$6&lt;&gt;"RH")*($H$6:$AL$6&lt;&gt;"SRD"),H15:AL15)+SUMPRODUCT(($H$5:$AL$5="Wed")*($H$6:$AL$6&lt;&gt;"PH")*($H$6:$AL$6&lt;&gt;"RH")*($H$6:$AL$6&lt;&gt;"SRD"),H15:AL15)+SUMPRODUCT(($H$5:$AL$5="Thu")*($H$6:$AL$6&lt;&gt;"PH")*($H$6:$AL$6&lt;&gt;"RH")*($H$6:$AL$6&lt;&gt;"SRD"),H15:AL15)+SUMPRODUCT(($H$5:$AL$5="Fri")*($H$6:$AL$6&lt;&gt;"PH")*($H$6:$AL$6&lt;&gt;"RH")*($H$6:$AL$6&lt;&gt;"SRD"),H15:AL15))+(SUMPRODUCT(($H$5:$AL$5="Mon")*($H$6:$AL$6&lt;&gt;"PH")*($H$6:$AL$6&lt;&gt;"RH")*($H$6:$AL$6&lt;&gt;"SRD"),H16:AL16)+SUMPRODUCT(($H$5:$AL$5="Tue")*($H$6:$AL$6&lt;&gt;"PH")*($H$6:$AL$6&lt;&gt;"RH")*($H$6:$AL$6&lt;&gt;"SRD"),H16:AL16)+SUMPRODUCT(($H$5:$AL$5="Wed")*($H$6:$AL$6&lt;&gt;"PH")*($H$6:$AL$6&lt;&gt;"RH")*($H$6:$AL$6&lt;&gt;"SRD"),H16:AL16)+SUMPRODUCT(($H$5:$AL$5="Thu")*($H$6:$AL$6&lt;&gt;"PH")*($H$6:$AL$6&lt;&gt;"RH")*($H$6:$AL$6&lt;&gt;"SRD"),H16:AL16)+SUMPRODUCT(($H$5:$AL$5="Fri")*($H$6:$AL$6&lt;&gt;"PH")*($H$6:$AL$6&lt;&gt;"RH")*($H$6:$AL$6&lt;&gt;"SRD"),H16:AL16)))/2
+((SUMPRODUCT(($H$5:$AL$5="Sat")*($H$6:$AL$6="SWD"),H15:AL15)+SUMPRODUCT(($H$5:$AL$5="Sun")*($H$6:$AL$6="SWD"),H15:AL15)+SUMPRODUCT(($H$5:$AL$5="Sat")*($H$6:$AL$6="SWD"),H16:AL16)+SUMPRODUCT(($H$5:$AL$5="Sun")*($H$6:$AL$6="SWD"),H16:AL16))/2)</f>
        <v>#VALUE!</v>
      </c>
      <c r="AR15" s="208" t="e" cm="1">
        <f t="array" ref="AR15">((SUMPRODUCT(($H$5:$AL$5="Sat")*($H$6:$AL$6&lt;&gt;"PH")*($H$6:$AL$6&lt;&gt;"SWD"),H15:AL15)+SUMPRODUCT(($H$5:$AL$5="Sun")*($H$6:$AL$6&lt;&gt;"PH")*($H$6:$AL$6&lt;&gt;"SWD"),H15:AL15)+((SUMPRODUCT(($H$5:$AL$5="Mon")*($H$6:$AL$6="RH"),H15:AL15)+((SUMPRODUCT(($H$5:$AL$5="Tue")*($H$6:$AL$6="RH"),H15:AL15)+((SUMPRODUCT(($H$5:$AL$5="Wed")*($H$6:$AL$6="RH"),H15:AL15)+((SUMPRODUCT(($H$5:$AL$5="Thu")*($H$6:$AL$6="RH"),H15:AL15)+((SUMPRODUCT(($H$5:$AL$5="Fri")*($H$6:$AL$6="RH"),H15:AL15)+(SUMPRODUCT(($H$5:$AL$5="Sat")*($H$6:$AL$6&lt;&gt;"PH")*($H$6:$AL$6&lt;&gt;"SWD"),H16:AL16)+SUMPRODUCT(($H$5:$AL$5="Sun")*($H$6:$AL$6&lt;&gt;"PH")*($H$6:$AL$6&lt;&gt;"SWD"),H16:AL16)+((SUMPRODUCT(($H$5:$AL$5="Mon")*($H$6:$AL$6="RH"),H16:AL16)+((SUMPRODUCT(($H$5:$AL$5="Tue")*($H$6:$AL$6="RH"),H16:AL16)+((SUMPRODUCT(($H$5:$AL$5="Wed")*($H$6:$AL$6="RH"),H16:AL16)+((SUMPRODUCT(($H$5:$AL$5="Thu")*($H$6:$AL$6="RH"),H16:AL16)+((SUMPRODUCT(($H$5:$AL$5="Fri")*($H$6:$AL$6="RH"),H16:AL16))))))))))))))))))))))))/2
+((SUMPRODUCT(($H$5:$AL$5="Mon")*($H$6:$AL$6="SRD"),H15:AL15)+((SUMPRODUCT(($H$5:$AL$5="Tue")*($H$6:$AL$6="SRD"),H15:AL15)+((SUMPRODUCT(($H$5:$AL$5="Wed")*($H$6:$AL$6="SRD"),H15:AL15)+((SUMPRODUCT(($H$5:$AL$5="Thu")*($H$6:$AL$6="SRD"),H15:AL15)+((SUMPRODUCT(($H$5:$AL$5="Fri")*($H$6:$AL$6="SRD"),H15:AL15)+((SUMPRODUCT(($H$5:$AL$5="Mon")*($H$6:$AL$6="SRD"),H16:AL16)+((SUMPRODUCT(($H$5:$AL$5="Tue")*($H$6:$AL$6="SRD"),H16:AL16)+((SUMPRODUCT(($H$5:$AL$5="Wed")*($H$6:$AL$6="SRD"),H16:AL16)+((SUMPRODUCT(($H$5:$AL$5="Thu")*($H$6:$AL$6="SRD"),H16:AL16)+((SUMPRODUCT(($H$5:$AL$5="Fri")*($H$6:$AL$6="SRD"),H16:AL16)))))))))))))))))))))/2</f>
        <v>#VALUE!</v>
      </c>
      <c r="AS15" s="158">
        <f t="shared" ref="AS15" si="14">(SUMIF($H$6:$AL$6,"PH",H15:AL15)+SUMIF($H$6:$AL$6,"PH",H16:AL16))/2</f>
        <v>0</v>
      </c>
      <c r="AT15" s="154">
        <f t="shared" ref="AT15" si="15">ROUND(D15/8*AM15*1.5,2)</f>
        <v>0</v>
      </c>
      <c r="AU15" s="156">
        <f t="shared" ref="AU15" si="16">ROUND(D15/8*AN15*2,2)</f>
        <v>0</v>
      </c>
      <c r="AV15" s="160">
        <f t="shared" ref="AV15" si="17">ROUND(D15/8*AO15*3,2)</f>
        <v>0</v>
      </c>
      <c r="AW15" s="162" t="e">
        <f>(D15*(AQ15+2*AR15+3*AS15))+AT15+AU15+AV15+AP15</f>
        <v>#VALUE!</v>
      </c>
    </row>
    <row r="16" spans="1:50" ht="15" thickBot="1">
      <c r="A16" s="165"/>
      <c r="B16" s="167"/>
      <c r="C16" s="167"/>
      <c r="D16" s="167"/>
      <c r="E16" s="167"/>
      <c r="F16" s="169"/>
      <c r="G16" s="27" t="s">
        <v>91</v>
      </c>
      <c r="H16" s="4"/>
      <c r="I16" s="5"/>
      <c r="J16" s="5"/>
      <c r="K16" s="5"/>
      <c r="L16" s="5"/>
      <c r="M16" s="5"/>
      <c r="N16" s="5"/>
      <c r="O16" s="5"/>
      <c r="P16" s="5"/>
      <c r="Q16" s="5"/>
      <c r="R16" s="5"/>
      <c r="S16" s="5"/>
      <c r="T16" s="5"/>
      <c r="U16" s="5"/>
      <c r="V16" s="5"/>
      <c r="W16" s="5"/>
      <c r="X16" s="5"/>
      <c r="Y16" s="5"/>
      <c r="Z16" s="5"/>
      <c r="AA16" s="5"/>
      <c r="AB16" s="5"/>
      <c r="AC16" s="5"/>
      <c r="AD16" s="5"/>
      <c r="AE16" s="5"/>
      <c r="AF16" s="5"/>
      <c r="AG16" s="5"/>
      <c r="AH16" s="5"/>
      <c r="AI16" s="5"/>
      <c r="AJ16" s="5"/>
      <c r="AK16" s="5"/>
      <c r="AL16" s="6"/>
      <c r="AM16" s="171"/>
      <c r="AN16" s="173"/>
      <c r="AO16" s="175"/>
      <c r="AP16" s="153"/>
      <c r="AQ16" s="207"/>
      <c r="AR16" s="209"/>
      <c r="AS16" s="159"/>
      <c r="AT16" s="155"/>
      <c r="AU16" s="157"/>
      <c r="AV16" s="161"/>
      <c r="AW16" s="163"/>
    </row>
    <row r="17" spans="1:50">
      <c r="A17" s="164">
        <v>5</v>
      </c>
      <c r="B17" s="166"/>
      <c r="C17" s="166"/>
      <c r="D17" s="166"/>
      <c r="E17" s="166"/>
      <c r="F17" s="168"/>
      <c r="G17" s="23" t="s">
        <v>90</v>
      </c>
      <c r="H17" s="1"/>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3"/>
      <c r="AM17" s="170"/>
      <c r="AN17" s="172"/>
      <c r="AO17" s="174"/>
      <c r="AP17" s="152"/>
      <c r="AQ17" s="206" t="e" cm="1">
        <f t="array" ref="AQ17">((SUMPRODUCT(($H$5:$AL$5="Mon")*($H$6:$AL$6&lt;&gt;"PH")*($H$6:$AL$6&lt;&gt;"RH")*($H$6:$AL$6&lt;&gt;"SRD"),H17:AL17)+SUMPRODUCT(($H$5:$AL$5="Tue")*($H$6:$AL$6&lt;&gt;"PH")*($H$6:$AL$6&lt;&gt;"RH")*($H$6:$AL$6&lt;&gt;"SRD"),H17:AL17)+SUMPRODUCT(($H$5:$AL$5="Wed")*($H$6:$AL$6&lt;&gt;"PH")*($H$6:$AL$6&lt;&gt;"RH")*($H$6:$AL$6&lt;&gt;"SRD"),H17:AL17)+SUMPRODUCT(($H$5:$AL$5="Thu")*($H$6:$AL$6&lt;&gt;"PH")*($H$6:$AL$6&lt;&gt;"RH")*($H$6:$AL$6&lt;&gt;"SRD"),H17:AL17)+SUMPRODUCT(($H$5:$AL$5="Fri")*($H$6:$AL$6&lt;&gt;"PH")*($H$6:$AL$6&lt;&gt;"RH")*($H$6:$AL$6&lt;&gt;"SRD"),H17:AL17))+(SUMPRODUCT(($H$5:$AL$5="Mon")*($H$6:$AL$6&lt;&gt;"PH")*($H$6:$AL$6&lt;&gt;"RH")*($H$6:$AL$6&lt;&gt;"SRD"),H18:AL18)+SUMPRODUCT(($H$5:$AL$5="Tue")*($H$6:$AL$6&lt;&gt;"PH")*($H$6:$AL$6&lt;&gt;"RH")*($H$6:$AL$6&lt;&gt;"SRD"),H18:AL18)+SUMPRODUCT(($H$5:$AL$5="Wed")*($H$6:$AL$6&lt;&gt;"PH")*($H$6:$AL$6&lt;&gt;"RH")*($H$6:$AL$6&lt;&gt;"SRD"),H18:AL18)+SUMPRODUCT(($H$5:$AL$5="Thu")*($H$6:$AL$6&lt;&gt;"PH")*($H$6:$AL$6&lt;&gt;"RH")*($H$6:$AL$6&lt;&gt;"SRD"),H18:AL18)+SUMPRODUCT(($H$5:$AL$5="Fri")*($H$6:$AL$6&lt;&gt;"PH")*($H$6:$AL$6&lt;&gt;"RH")*($H$6:$AL$6&lt;&gt;"SRD"),H18:AL18)))/2
+((SUMPRODUCT(($H$5:$AL$5="Sat")*($H$6:$AL$6="SWD"),H17:AL17)+SUMPRODUCT(($H$5:$AL$5="Sun")*($H$6:$AL$6="SWD"),H17:AL17)+SUMPRODUCT(($H$5:$AL$5="Sat")*($H$6:$AL$6="SWD"),H18:AL18)+SUMPRODUCT(($H$5:$AL$5="Sun")*($H$6:$AL$6="SWD"),H18:AL18))/2)</f>
        <v>#VALUE!</v>
      </c>
      <c r="AR17" s="208" t="e" cm="1">
        <f t="array" ref="AR17">((SUMPRODUCT(($H$5:$AL$5="Sat")*($H$6:$AL$6&lt;&gt;"PH")*($H$6:$AL$6&lt;&gt;"SWD"),H17:AL17)+SUMPRODUCT(($H$5:$AL$5="Sun")*($H$6:$AL$6&lt;&gt;"PH")*($H$6:$AL$6&lt;&gt;"SWD"),H17:AL17)+((SUMPRODUCT(($H$5:$AL$5="Mon")*($H$6:$AL$6="RH"),H17:AL17)+((SUMPRODUCT(($H$5:$AL$5="Tue")*($H$6:$AL$6="RH"),H17:AL17)+((SUMPRODUCT(($H$5:$AL$5="Wed")*($H$6:$AL$6="RH"),H17:AL17)+((SUMPRODUCT(($H$5:$AL$5="Thu")*($H$6:$AL$6="RH"),H17:AL17)+((SUMPRODUCT(($H$5:$AL$5="Fri")*($H$6:$AL$6="RH"),H17:AL17)+(SUMPRODUCT(($H$5:$AL$5="Sat")*($H$6:$AL$6&lt;&gt;"PH")*($H$6:$AL$6&lt;&gt;"SWD"),H18:AL18)+SUMPRODUCT(($H$5:$AL$5="Sun")*($H$6:$AL$6&lt;&gt;"PH")*($H$6:$AL$6&lt;&gt;"SWD"),H18:AL18)+((SUMPRODUCT(($H$5:$AL$5="Mon")*($H$6:$AL$6="RH"),H18:AL18)+((SUMPRODUCT(($H$5:$AL$5="Tue")*($H$6:$AL$6="RH"),H18:AL18)+((SUMPRODUCT(($H$5:$AL$5="Wed")*($H$6:$AL$6="RH"),H18:AL18)+((SUMPRODUCT(($H$5:$AL$5="Thu")*($H$6:$AL$6="RH"),H18:AL18)+((SUMPRODUCT(($H$5:$AL$5="Fri")*($H$6:$AL$6="RH"),H18:AL18))))))))))))))))))))))))/2
+((SUMPRODUCT(($H$5:$AL$5="Mon")*($H$6:$AL$6="SRD"),H17:AL17)+((SUMPRODUCT(($H$5:$AL$5="Tue")*($H$6:$AL$6="SRD"),H17:AL17)+((SUMPRODUCT(($H$5:$AL$5="Wed")*($H$6:$AL$6="SRD"),H17:AL17)+((SUMPRODUCT(($H$5:$AL$5="Thu")*($H$6:$AL$6="SRD"),H17:AL17)+((SUMPRODUCT(($H$5:$AL$5="Fri")*($H$6:$AL$6="SRD"),H17:AL17)+((SUMPRODUCT(($H$5:$AL$5="Mon")*($H$6:$AL$6="SRD"),H18:AL18)+((SUMPRODUCT(($H$5:$AL$5="Tue")*($H$6:$AL$6="SRD"),H18:AL18)+((SUMPRODUCT(($H$5:$AL$5="Wed")*($H$6:$AL$6="SRD"),H18:AL18)+((SUMPRODUCT(($H$5:$AL$5="Thu")*($H$6:$AL$6="SRD"),H18:AL18)+((SUMPRODUCT(($H$5:$AL$5="Fri")*($H$6:$AL$6="SRD"),H18:AL18)))))))))))))))))))))/2</f>
        <v>#VALUE!</v>
      </c>
      <c r="AS17" s="158">
        <f t="shared" ref="AS17" si="18">(SUMIF($H$6:$AL$6,"PH",H17:AL17)+SUMIF($H$6:$AL$6,"PH",H18:AL18))/2</f>
        <v>0</v>
      </c>
      <c r="AT17" s="154">
        <f t="shared" ref="AT17" si="19">ROUND(D17/8*AM17*1.5,2)</f>
        <v>0</v>
      </c>
      <c r="AU17" s="156">
        <f t="shared" ref="AU17" si="20">ROUND(D17/8*AN17*2,2)</f>
        <v>0</v>
      </c>
      <c r="AV17" s="160">
        <f t="shared" ref="AV17" si="21">ROUND(D17/8*AO17*3,2)</f>
        <v>0</v>
      </c>
      <c r="AW17" s="162" t="e">
        <f>(D17*(AQ17+2*AR17+3*AS17))+AT17+AU17+AV17+AP17</f>
        <v>#VALUE!</v>
      </c>
    </row>
    <row r="18" spans="1:50" ht="15" thickBot="1">
      <c r="A18" s="165"/>
      <c r="B18" s="167"/>
      <c r="C18" s="167"/>
      <c r="D18" s="167"/>
      <c r="E18" s="167"/>
      <c r="F18" s="169"/>
      <c r="G18" s="27" t="s">
        <v>91</v>
      </c>
      <c r="H18" s="4"/>
      <c r="I18" s="5"/>
      <c r="J18" s="5"/>
      <c r="K18" s="5"/>
      <c r="L18" s="5"/>
      <c r="M18" s="5"/>
      <c r="N18" s="5"/>
      <c r="O18" s="5"/>
      <c r="P18" s="5"/>
      <c r="Q18" s="5"/>
      <c r="R18" s="5"/>
      <c r="S18" s="5"/>
      <c r="T18" s="5"/>
      <c r="U18" s="5"/>
      <c r="V18" s="5"/>
      <c r="W18" s="5"/>
      <c r="X18" s="5"/>
      <c r="Y18" s="5"/>
      <c r="Z18" s="5"/>
      <c r="AA18" s="5"/>
      <c r="AB18" s="5"/>
      <c r="AC18" s="5"/>
      <c r="AD18" s="5"/>
      <c r="AE18" s="5"/>
      <c r="AF18" s="5"/>
      <c r="AG18" s="5"/>
      <c r="AH18" s="5"/>
      <c r="AI18" s="5"/>
      <c r="AJ18" s="5"/>
      <c r="AK18" s="5"/>
      <c r="AL18" s="6"/>
      <c r="AM18" s="171"/>
      <c r="AN18" s="173"/>
      <c r="AO18" s="175"/>
      <c r="AP18" s="153"/>
      <c r="AQ18" s="207"/>
      <c r="AR18" s="209"/>
      <c r="AS18" s="159"/>
      <c r="AT18" s="155"/>
      <c r="AU18" s="157"/>
      <c r="AV18" s="161"/>
      <c r="AW18" s="163"/>
    </row>
    <row r="19" spans="1:50">
      <c r="A19" s="164">
        <v>6</v>
      </c>
      <c r="B19" s="166"/>
      <c r="C19" s="166"/>
      <c r="D19" s="166"/>
      <c r="E19" s="166"/>
      <c r="F19" s="168"/>
      <c r="G19" s="23" t="s">
        <v>90</v>
      </c>
      <c r="H19" s="1"/>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3"/>
      <c r="AM19" s="170"/>
      <c r="AN19" s="172"/>
      <c r="AO19" s="174"/>
      <c r="AP19" s="152"/>
      <c r="AQ19" s="206" t="e" cm="1">
        <f t="array" ref="AQ19">((SUMPRODUCT(($H$5:$AL$5="Mon")*($H$6:$AL$6&lt;&gt;"PH")*($H$6:$AL$6&lt;&gt;"RH")*($H$6:$AL$6&lt;&gt;"SRD"),H19:AL19)+SUMPRODUCT(($H$5:$AL$5="Tue")*($H$6:$AL$6&lt;&gt;"PH")*($H$6:$AL$6&lt;&gt;"RH")*($H$6:$AL$6&lt;&gt;"SRD"),H19:AL19)+SUMPRODUCT(($H$5:$AL$5="Wed")*($H$6:$AL$6&lt;&gt;"PH")*($H$6:$AL$6&lt;&gt;"RH")*($H$6:$AL$6&lt;&gt;"SRD"),H19:AL19)+SUMPRODUCT(($H$5:$AL$5="Thu")*($H$6:$AL$6&lt;&gt;"PH")*($H$6:$AL$6&lt;&gt;"RH")*($H$6:$AL$6&lt;&gt;"SRD"),H19:AL19)+SUMPRODUCT(($H$5:$AL$5="Fri")*($H$6:$AL$6&lt;&gt;"PH")*($H$6:$AL$6&lt;&gt;"RH")*($H$6:$AL$6&lt;&gt;"SRD"),H19:AL19))+(SUMPRODUCT(($H$5:$AL$5="Mon")*($H$6:$AL$6&lt;&gt;"PH")*($H$6:$AL$6&lt;&gt;"RH")*($H$6:$AL$6&lt;&gt;"SRD"),H20:AL20)+SUMPRODUCT(($H$5:$AL$5="Tue")*($H$6:$AL$6&lt;&gt;"PH")*($H$6:$AL$6&lt;&gt;"RH")*($H$6:$AL$6&lt;&gt;"SRD"),H20:AL20)+SUMPRODUCT(($H$5:$AL$5="Wed")*($H$6:$AL$6&lt;&gt;"PH")*($H$6:$AL$6&lt;&gt;"RH")*($H$6:$AL$6&lt;&gt;"SRD"),H20:AL20)+SUMPRODUCT(($H$5:$AL$5="Thu")*($H$6:$AL$6&lt;&gt;"PH")*($H$6:$AL$6&lt;&gt;"RH")*($H$6:$AL$6&lt;&gt;"SRD"),H20:AL20)+SUMPRODUCT(($H$5:$AL$5="Fri")*($H$6:$AL$6&lt;&gt;"PH")*($H$6:$AL$6&lt;&gt;"RH")*($H$6:$AL$6&lt;&gt;"SRD"),H20:AL20)))/2
+((SUMPRODUCT(($H$5:$AL$5="Sat")*($H$6:$AL$6="SWD"),H19:AL19)+SUMPRODUCT(($H$5:$AL$5="Sun")*($H$6:$AL$6="SWD"),H19:AL19)+SUMPRODUCT(($H$5:$AL$5="Sat")*($H$6:$AL$6="SWD"),H20:AL20)+SUMPRODUCT(($H$5:$AL$5="Sun")*($H$6:$AL$6="SWD"),H20:AL20))/2)</f>
        <v>#VALUE!</v>
      </c>
      <c r="AR19" s="208" t="e" cm="1">
        <f t="array" ref="AR19">((SUMPRODUCT(($H$5:$AL$5="Sat")*($H$6:$AL$6&lt;&gt;"PH")*($H$6:$AL$6&lt;&gt;"SWD"),H19:AL19)+SUMPRODUCT(($H$5:$AL$5="Sun")*($H$6:$AL$6&lt;&gt;"PH")*($H$6:$AL$6&lt;&gt;"SWD"),H19:AL19)+((SUMPRODUCT(($H$5:$AL$5="Mon")*($H$6:$AL$6="RH"),H19:AL19)+((SUMPRODUCT(($H$5:$AL$5="Tue")*($H$6:$AL$6="RH"),H19:AL19)+((SUMPRODUCT(($H$5:$AL$5="Wed")*($H$6:$AL$6="RH"),H19:AL19)+((SUMPRODUCT(($H$5:$AL$5="Thu")*($H$6:$AL$6="RH"),H19:AL19)+((SUMPRODUCT(($H$5:$AL$5="Fri")*($H$6:$AL$6="RH"),H19:AL19)+(SUMPRODUCT(($H$5:$AL$5="Sat")*($H$6:$AL$6&lt;&gt;"PH")*($H$6:$AL$6&lt;&gt;"SWD"),H20:AL20)+SUMPRODUCT(($H$5:$AL$5="Sun")*($H$6:$AL$6&lt;&gt;"PH")*($H$6:$AL$6&lt;&gt;"SWD"),H20:AL20)+((SUMPRODUCT(($H$5:$AL$5="Mon")*($H$6:$AL$6="RH"),H20:AL20)+((SUMPRODUCT(($H$5:$AL$5="Tue")*($H$6:$AL$6="RH"),H20:AL20)+((SUMPRODUCT(($H$5:$AL$5="Wed")*($H$6:$AL$6="RH"),H20:AL20)+((SUMPRODUCT(($H$5:$AL$5="Thu")*($H$6:$AL$6="RH"),H20:AL20)+((SUMPRODUCT(($H$5:$AL$5="Fri")*($H$6:$AL$6="RH"),H20:AL20))))))))))))))))))))))))/2
+((SUMPRODUCT(($H$5:$AL$5="Mon")*($H$6:$AL$6="SRD"),H19:AL19)+((SUMPRODUCT(($H$5:$AL$5="Tue")*($H$6:$AL$6="SRD"),H19:AL19)+((SUMPRODUCT(($H$5:$AL$5="Wed")*($H$6:$AL$6="SRD"),H19:AL19)+((SUMPRODUCT(($H$5:$AL$5="Thu")*($H$6:$AL$6="SRD"),H19:AL19)+((SUMPRODUCT(($H$5:$AL$5="Fri")*($H$6:$AL$6="SRD"),H19:AL19)+((SUMPRODUCT(($H$5:$AL$5="Mon")*($H$6:$AL$6="SRD"),H20:AL20)+((SUMPRODUCT(($H$5:$AL$5="Tue")*($H$6:$AL$6="SRD"),H20:AL20)+((SUMPRODUCT(($H$5:$AL$5="Wed")*($H$6:$AL$6="SRD"),H20:AL20)+((SUMPRODUCT(($H$5:$AL$5="Thu")*($H$6:$AL$6="SRD"),H20:AL20)+((SUMPRODUCT(($H$5:$AL$5="Fri")*($H$6:$AL$6="SRD"),H20:AL20)))))))))))))))))))))/2</f>
        <v>#VALUE!</v>
      </c>
      <c r="AS19" s="158">
        <f t="shared" ref="AS19" si="22">(SUMIF($H$6:$AL$6,"PH",H19:AL19)+SUMIF($H$6:$AL$6,"PH",H20:AL20))/2</f>
        <v>0</v>
      </c>
      <c r="AT19" s="154">
        <f t="shared" ref="AT19" si="23">ROUND(D19/8*AM19*1.5,2)</f>
        <v>0</v>
      </c>
      <c r="AU19" s="156">
        <f t="shared" ref="AU19" si="24">ROUND(D19/8*AN19*2,2)</f>
        <v>0</v>
      </c>
      <c r="AV19" s="160">
        <f t="shared" ref="AV19" si="25">ROUND(D19/8*AO19*3,2)</f>
        <v>0</v>
      </c>
      <c r="AW19" s="162" t="e">
        <f t="shared" ref="AW19" si="26">(D19*(AQ19+2*AR19+3*AS19))+AT19+AU19+AV19+AP19</f>
        <v>#VALUE!</v>
      </c>
    </row>
    <row r="20" spans="1:50" ht="15" thickBot="1">
      <c r="A20" s="165"/>
      <c r="B20" s="167"/>
      <c r="C20" s="167"/>
      <c r="D20" s="167"/>
      <c r="E20" s="167"/>
      <c r="F20" s="169"/>
      <c r="G20" s="27" t="s">
        <v>91</v>
      </c>
      <c r="H20" s="4"/>
      <c r="I20" s="5"/>
      <c r="J20" s="5"/>
      <c r="K20" s="5"/>
      <c r="L20" s="5"/>
      <c r="M20" s="5"/>
      <c r="N20" s="5"/>
      <c r="O20" s="5"/>
      <c r="P20" s="5"/>
      <c r="Q20" s="5"/>
      <c r="R20" s="5"/>
      <c r="S20" s="5"/>
      <c r="T20" s="5"/>
      <c r="U20" s="5"/>
      <c r="V20" s="5"/>
      <c r="W20" s="5"/>
      <c r="X20" s="5"/>
      <c r="Y20" s="5"/>
      <c r="Z20" s="5"/>
      <c r="AA20" s="5"/>
      <c r="AB20" s="5"/>
      <c r="AC20" s="5"/>
      <c r="AD20" s="5"/>
      <c r="AE20" s="5"/>
      <c r="AF20" s="5"/>
      <c r="AG20" s="5"/>
      <c r="AH20" s="5"/>
      <c r="AI20" s="5"/>
      <c r="AJ20" s="5"/>
      <c r="AK20" s="5"/>
      <c r="AL20" s="6"/>
      <c r="AM20" s="171"/>
      <c r="AN20" s="173"/>
      <c r="AO20" s="175"/>
      <c r="AP20" s="153"/>
      <c r="AQ20" s="207"/>
      <c r="AR20" s="209"/>
      <c r="AS20" s="159"/>
      <c r="AT20" s="155"/>
      <c r="AU20" s="157"/>
      <c r="AV20" s="161"/>
      <c r="AW20" s="163"/>
      <c r="AX20" s="31"/>
    </row>
    <row r="21" spans="1:50">
      <c r="A21" s="164">
        <v>7</v>
      </c>
      <c r="B21" s="166"/>
      <c r="C21" s="166"/>
      <c r="D21" s="166"/>
      <c r="E21" s="166"/>
      <c r="F21" s="168"/>
      <c r="G21" s="23" t="s">
        <v>90</v>
      </c>
      <c r="H21" s="1"/>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c r="AK21" s="2"/>
      <c r="AL21" s="3"/>
      <c r="AM21" s="170"/>
      <c r="AN21" s="172"/>
      <c r="AO21" s="174"/>
      <c r="AP21" s="152"/>
      <c r="AQ21" s="206" t="e" cm="1">
        <f t="array" ref="AQ21">((SUMPRODUCT(($H$5:$AL$5="Mon")*($H$6:$AL$6&lt;&gt;"PH")*($H$6:$AL$6&lt;&gt;"RH")*($H$6:$AL$6&lt;&gt;"SRD"),H21:AL21)+SUMPRODUCT(($H$5:$AL$5="Tue")*($H$6:$AL$6&lt;&gt;"PH")*($H$6:$AL$6&lt;&gt;"RH")*($H$6:$AL$6&lt;&gt;"SRD"),H21:AL21)+SUMPRODUCT(($H$5:$AL$5="Wed")*($H$6:$AL$6&lt;&gt;"PH")*($H$6:$AL$6&lt;&gt;"RH")*($H$6:$AL$6&lt;&gt;"SRD"),H21:AL21)+SUMPRODUCT(($H$5:$AL$5="Thu")*($H$6:$AL$6&lt;&gt;"PH")*($H$6:$AL$6&lt;&gt;"RH")*($H$6:$AL$6&lt;&gt;"SRD"),H21:AL21)+SUMPRODUCT(($H$5:$AL$5="Fri")*($H$6:$AL$6&lt;&gt;"PH")*($H$6:$AL$6&lt;&gt;"RH")*($H$6:$AL$6&lt;&gt;"SRD"),H21:AL21))+(SUMPRODUCT(($H$5:$AL$5="Mon")*($H$6:$AL$6&lt;&gt;"PH")*($H$6:$AL$6&lt;&gt;"RH")*($H$6:$AL$6&lt;&gt;"SRD"),H22:AL22)+SUMPRODUCT(($H$5:$AL$5="Tue")*($H$6:$AL$6&lt;&gt;"PH")*($H$6:$AL$6&lt;&gt;"RH")*($H$6:$AL$6&lt;&gt;"SRD"),H22:AL22)+SUMPRODUCT(($H$5:$AL$5="Wed")*($H$6:$AL$6&lt;&gt;"PH")*($H$6:$AL$6&lt;&gt;"RH")*($H$6:$AL$6&lt;&gt;"SRD"),H22:AL22)+SUMPRODUCT(($H$5:$AL$5="Thu")*($H$6:$AL$6&lt;&gt;"PH")*($H$6:$AL$6&lt;&gt;"RH")*($H$6:$AL$6&lt;&gt;"SRD"),H22:AL22)+SUMPRODUCT(($H$5:$AL$5="Fri")*($H$6:$AL$6&lt;&gt;"PH")*($H$6:$AL$6&lt;&gt;"RH")*($H$6:$AL$6&lt;&gt;"SRD"),H22:AL22)))/2
+((SUMPRODUCT(($H$5:$AL$5="Sat")*($H$6:$AL$6="SWD"),H21:AL21)+SUMPRODUCT(($H$5:$AL$5="Sun")*($H$6:$AL$6="SWD"),H21:AL21)+SUMPRODUCT(($H$5:$AL$5="Sat")*($H$6:$AL$6="SWD"),H22:AL22)+SUMPRODUCT(($H$5:$AL$5="Sun")*($H$6:$AL$6="SWD"),H22:AL22))/2)</f>
        <v>#VALUE!</v>
      </c>
      <c r="AR21" s="208" t="e" cm="1">
        <f t="array" ref="AR21">((SUMPRODUCT(($H$5:$AL$5="Sat")*($H$6:$AL$6&lt;&gt;"PH")*($H$6:$AL$6&lt;&gt;"SWD"),H21:AL21)+SUMPRODUCT(($H$5:$AL$5="Sun")*($H$6:$AL$6&lt;&gt;"PH")*($H$6:$AL$6&lt;&gt;"SWD"),H21:AL21)+((SUMPRODUCT(($H$5:$AL$5="Mon")*($H$6:$AL$6="RH"),H21:AL21)+((SUMPRODUCT(($H$5:$AL$5="Tue")*($H$6:$AL$6="RH"),H21:AL21)+((SUMPRODUCT(($H$5:$AL$5="Wed")*($H$6:$AL$6="RH"),H21:AL21)+((SUMPRODUCT(($H$5:$AL$5="Thu")*($H$6:$AL$6="RH"),H21:AL21)+((SUMPRODUCT(($H$5:$AL$5="Fri")*($H$6:$AL$6="RH"),H21:AL21)+(SUMPRODUCT(($H$5:$AL$5="Sat")*($H$6:$AL$6&lt;&gt;"PH")*($H$6:$AL$6&lt;&gt;"SWD"),H22:AL22)+SUMPRODUCT(($H$5:$AL$5="Sun")*($H$6:$AL$6&lt;&gt;"PH")*($H$6:$AL$6&lt;&gt;"SWD"),H22:AL22)+((SUMPRODUCT(($H$5:$AL$5="Mon")*($H$6:$AL$6="RH"),H22:AL22)+((SUMPRODUCT(($H$5:$AL$5="Tue")*($H$6:$AL$6="RH"),H22:AL22)+((SUMPRODUCT(($H$5:$AL$5="Wed")*($H$6:$AL$6="RH"),H22:AL22)+((SUMPRODUCT(($H$5:$AL$5="Thu")*($H$6:$AL$6="RH"),H22:AL22)+((SUMPRODUCT(($H$5:$AL$5="Fri")*($H$6:$AL$6="RH"),H22:AL22))))))))))))))))))))))))/2
+((SUMPRODUCT(($H$5:$AL$5="Mon")*($H$6:$AL$6="SRD"),H21:AL21)+((SUMPRODUCT(($H$5:$AL$5="Tue")*($H$6:$AL$6="SRD"),H21:AL21)+((SUMPRODUCT(($H$5:$AL$5="Wed")*($H$6:$AL$6="SRD"),H21:AL21)+((SUMPRODUCT(($H$5:$AL$5="Thu")*($H$6:$AL$6="SRD"),H21:AL21)+((SUMPRODUCT(($H$5:$AL$5="Fri")*($H$6:$AL$6="SRD"),H21:AL21)+((SUMPRODUCT(($H$5:$AL$5="Mon")*($H$6:$AL$6="SRD"),H22:AL22)+((SUMPRODUCT(($H$5:$AL$5="Tue")*($H$6:$AL$6="SRD"),H22:AL22)+((SUMPRODUCT(($H$5:$AL$5="Wed")*($H$6:$AL$6="SRD"),H22:AL22)+((SUMPRODUCT(($H$5:$AL$5="Thu")*($H$6:$AL$6="SRD"),H22:AL22)+((SUMPRODUCT(($H$5:$AL$5="Fri")*($H$6:$AL$6="SRD"),H22:AL22)))))))))))))))))))))/2</f>
        <v>#VALUE!</v>
      </c>
      <c r="AS21" s="158">
        <f t="shared" ref="AS21" si="27">(SUMIF($H$6:$AL$6,"PH",H21:AL21)+SUMIF($H$6:$AL$6,"PH",H22:AL22))/2</f>
        <v>0</v>
      </c>
      <c r="AT21" s="154">
        <f t="shared" ref="AT21" si="28">ROUND(D21/8*AM21*1.5,2)</f>
        <v>0</v>
      </c>
      <c r="AU21" s="156">
        <f t="shared" ref="AU21" si="29">ROUND(D21/8*AN21*2,2)</f>
        <v>0</v>
      </c>
      <c r="AV21" s="160">
        <f t="shared" ref="AV21" si="30">ROUND(D21/8*AO21*3,2)</f>
        <v>0</v>
      </c>
      <c r="AW21" s="162" t="e">
        <f t="shared" ref="AW21" si="31">(D21*(AQ21+2*AR21+3*AS21))+AT21+AU21+AV21+AP21</f>
        <v>#VALUE!</v>
      </c>
      <c r="AX21" s="31"/>
    </row>
    <row r="22" spans="1:50" ht="15" thickBot="1">
      <c r="A22" s="165"/>
      <c r="B22" s="167"/>
      <c r="C22" s="167"/>
      <c r="D22" s="167"/>
      <c r="E22" s="167"/>
      <c r="F22" s="169"/>
      <c r="G22" s="27" t="s">
        <v>91</v>
      </c>
      <c r="H22" s="4"/>
      <c r="I22" s="5"/>
      <c r="J22" s="5"/>
      <c r="K22" s="5"/>
      <c r="L22" s="5"/>
      <c r="M22" s="5"/>
      <c r="N22" s="5"/>
      <c r="O22" s="5"/>
      <c r="P22" s="5"/>
      <c r="Q22" s="5"/>
      <c r="R22" s="5"/>
      <c r="S22" s="5"/>
      <c r="T22" s="5"/>
      <c r="U22" s="5"/>
      <c r="V22" s="5"/>
      <c r="W22" s="5"/>
      <c r="X22" s="5"/>
      <c r="Y22" s="5"/>
      <c r="Z22" s="5"/>
      <c r="AA22" s="5"/>
      <c r="AB22" s="5"/>
      <c r="AC22" s="5"/>
      <c r="AD22" s="5"/>
      <c r="AE22" s="5"/>
      <c r="AF22" s="5"/>
      <c r="AG22" s="5"/>
      <c r="AH22" s="5"/>
      <c r="AI22" s="5"/>
      <c r="AJ22" s="5"/>
      <c r="AK22" s="5"/>
      <c r="AL22" s="6"/>
      <c r="AM22" s="171"/>
      <c r="AN22" s="173"/>
      <c r="AO22" s="175"/>
      <c r="AP22" s="153"/>
      <c r="AQ22" s="207"/>
      <c r="AR22" s="209"/>
      <c r="AS22" s="159"/>
      <c r="AT22" s="155"/>
      <c r="AU22" s="157"/>
      <c r="AV22" s="161"/>
      <c r="AW22" s="163"/>
    </row>
    <row r="23" spans="1:50">
      <c r="A23" s="164">
        <v>8</v>
      </c>
      <c r="B23" s="166"/>
      <c r="C23" s="166"/>
      <c r="D23" s="166"/>
      <c r="E23" s="166"/>
      <c r="F23" s="168"/>
      <c r="G23" s="23" t="s">
        <v>90</v>
      </c>
      <c r="H23" s="1"/>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c r="AK23" s="2"/>
      <c r="AL23" s="3"/>
      <c r="AM23" s="170"/>
      <c r="AN23" s="172"/>
      <c r="AO23" s="174"/>
      <c r="AP23" s="152"/>
      <c r="AQ23" s="206" t="e" cm="1">
        <f t="array" ref="AQ23">((SUMPRODUCT(($H$5:$AL$5="Mon")*($H$6:$AL$6&lt;&gt;"PH")*($H$6:$AL$6&lt;&gt;"RH")*($H$6:$AL$6&lt;&gt;"SRD"),H23:AL23)+SUMPRODUCT(($H$5:$AL$5="Tue")*($H$6:$AL$6&lt;&gt;"PH")*($H$6:$AL$6&lt;&gt;"RH")*($H$6:$AL$6&lt;&gt;"SRD"),H23:AL23)+SUMPRODUCT(($H$5:$AL$5="Wed")*($H$6:$AL$6&lt;&gt;"PH")*($H$6:$AL$6&lt;&gt;"RH")*($H$6:$AL$6&lt;&gt;"SRD"),H23:AL23)+SUMPRODUCT(($H$5:$AL$5="Thu")*($H$6:$AL$6&lt;&gt;"PH")*($H$6:$AL$6&lt;&gt;"RH")*($H$6:$AL$6&lt;&gt;"SRD"),H23:AL23)+SUMPRODUCT(($H$5:$AL$5="Fri")*($H$6:$AL$6&lt;&gt;"PH")*($H$6:$AL$6&lt;&gt;"RH")*($H$6:$AL$6&lt;&gt;"SRD"),H23:AL23))+(SUMPRODUCT(($H$5:$AL$5="Mon")*($H$6:$AL$6&lt;&gt;"PH")*($H$6:$AL$6&lt;&gt;"RH")*($H$6:$AL$6&lt;&gt;"SRD"),H24:AL24)+SUMPRODUCT(($H$5:$AL$5="Tue")*($H$6:$AL$6&lt;&gt;"PH")*($H$6:$AL$6&lt;&gt;"RH")*($H$6:$AL$6&lt;&gt;"SRD"),H24:AL24)+SUMPRODUCT(($H$5:$AL$5="Wed")*($H$6:$AL$6&lt;&gt;"PH")*($H$6:$AL$6&lt;&gt;"RH")*($H$6:$AL$6&lt;&gt;"SRD"),H24:AL24)+SUMPRODUCT(($H$5:$AL$5="Thu")*($H$6:$AL$6&lt;&gt;"PH")*($H$6:$AL$6&lt;&gt;"RH")*($H$6:$AL$6&lt;&gt;"SRD"),H24:AL24)+SUMPRODUCT(($H$5:$AL$5="Fri")*($H$6:$AL$6&lt;&gt;"PH")*($H$6:$AL$6&lt;&gt;"RH")*($H$6:$AL$6&lt;&gt;"SRD"),H24:AL24)))/2
+((SUMPRODUCT(($H$5:$AL$5="Sat")*($H$6:$AL$6="SWD"),H23:AL23)+SUMPRODUCT(($H$5:$AL$5="Sun")*($H$6:$AL$6="SWD"),H23:AL23)+SUMPRODUCT(($H$5:$AL$5="Sat")*($H$6:$AL$6="SWD"),H24:AL24)+SUMPRODUCT(($H$5:$AL$5="Sun")*($H$6:$AL$6="SWD"),H24:AL24))/2)</f>
        <v>#VALUE!</v>
      </c>
      <c r="AR23" s="208" t="e" cm="1">
        <f t="array" ref="AR23">((SUMPRODUCT(($H$5:$AL$5="Sat")*($H$6:$AL$6&lt;&gt;"PH")*($H$6:$AL$6&lt;&gt;"SWD"),H23:AL23)+SUMPRODUCT(($H$5:$AL$5="Sun")*($H$6:$AL$6&lt;&gt;"PH")*($H$6:$AL$6&lt;&gt;"SWD"),H23:AL23)+((SUMPRODUCT(($H$5:$AL$5="Mon")*($H$6:$AL$6="RH"),H23:AL23)+((SUMPRODUCT(($H$5:$AL$5="Tue")*($H$6:$AL$6="RH"),H23:AL23)+((SUMPRODUCT(($H$5:$AL$5="Wed")*($H$6:$AL$6="RH"),H23:AL23)+((SUMPRODUCT(($H$5:$AL$5="Thu")*($H$6:$AL$6="RH"),H23:AL23)+((SUMPRODUCT(($H$5:$AL$5="Fri")*($H$6:$AL$6="RH"),H23:AL23)+(SUMPRODUCT(($H$5:$AL$5="Sat")*($H$6:$AL$6&lt;&gt;"PH")*($H$6:$AL$6&lt;&gt;"SWD"),H24:AL24)+SUMPRODUCT(($H$5:$AL$5="Sun")*($H$6:$AL$6&lt;&gt;"PH")*($H$6:$AL$6&lt;&gt;"SWD"),H24:AL24)+((SUMPRODUCT(($H$5:$AL$5="Mon")*($H$6:$AL$6="RH"),H24:AL24)+((SUMPRODUCT(($H$5:$AL$5="Tue")*($H$6:$AL$6="RH"),H24:AL24)+((SUMPRODUCT(($H$5:$AL$5="Wed")*($H$6:$AL$6="RH"),H24:AL24)+((SUMPRODUCT(($H$5:$AL$5="Thu")*($H$6:$AL$6="RH"),H24:AL24)+((SUMPRODUCT(($H$5:$AL$5="Fri")*($H$6:$AL$6="RH"),H24:AL24))))))))))))))))))))))))/2
+((SUMPRODUCT(($H$5:$AL$5="Mon")*($H$6:$AL$6="SRD"),H23:AL23)+((SUMPRODUCT(($H$5:$AL$5="Tue")*($H$6:$AL$6="SRD"),H23:AL23)+((SUMPRODUCT(($H$5:$AL$5="Wed")*($H$6:$AL$6="SRD"),H23:AL23)+((SUMPRODUCT(($H$5:$AL$5="Thu")*($H$6:$AL$6="SRD"),H23:AL23)+((SUMPRODUCT(($H$5:$AL$5="Fri")*($H$6:$AL$6="SRD"),H23:AL23)+((SUMPRODUCT(($H$5:$AL$5="Mon")*($H$6:$AL$6="SRD"),H24:AL24)+((SUMPRODUCT(($H$5:$AL$5="Tue")*($H$6:$AL$6="SRD"),H24:AL24)+((SUMPRODUCT(($H$5:$AL$5="Wed")*($H$6:$AL$6="SRD"),H24:AL24)+((SUMPRODUCT(($H$5:$AL$5="Thu")*($H$6:$AL$6="SRD"),H24:AL24)+((SUMPRODUCT(($H$5:$AL$5="Fri")*($H$6:$AL$6="SRD"),H24:AL24)))))))))))))))))))))/2</f>
        <v>#VALUE!</v>
      </c>
      <c r="AS23" s="158">
        <f t="shared" ref="AS23" si="32">(SUMIF($H$6:$AL$6,"PH",H23:AL23)+SUMIF($H$6:$AL$6,"PH",H24:AL24))/2</f>
        <v>0</v>
      </c>
      <c r="AT23" s="154">
        <f t="shared" ref="AT23" si="33">ROUND(D23/8*AM23*1.5,2)</f>
        <v>0</v>
      </c>
      <c r="AU23" s="156">
        <f t="shared" ref="AU23" si="34">ROUND(D23/8*AN23*2,2)</f>
        <v>0</v>
      </c>
      <c r="AV23" s="160">
        <f t="shared" ref="AV23" si="35">ROUND(D23/8*AO23*3,2)</f>
        <v>0</v>
      </c>
      <c r="AW23" s="162" t="e">
        <f t="shared" ref="AW23" si="36">(D23*(AQ23+2*AR23+3*AS23))+AT23+AU23+AV23+AP23</f>
        <v>#VALUE!</v>
      </c>
    </row>
    <row r="24" spans="1:50" ht="15" thickBot="1">
      <c r="A24" s="165"/>
      <c r="B24" s="167"/>
      <c r="C24" s="167"/>
      <c r="D24" s="167"/>
      <c r="E24" s="167"/>
      <c r="F24" s="169"/>
      <c r="G24" s="27" t="s">
        <v>91</v>
      </c>
      <c r="H24" s="4"/>
      <c r="I24" s="5"/>
      <c r="J24" s="5"/>
      <c r="K24" s="5"/>
      <c r="L24" s="5"/>
      <c r="M24" s="5"/>
      <c r="N24" s="5"/>
      <c r="O24" s="5"/>
      <c r="P24" s="5"/>
      <c r="Q24" s="5"/>
      <c r="R24" s="5"/>
      <c r="S24" s="5"/>
      <c r="T24" s="5"/>
      <c r="U24" s="5"/>
      <c r="V24" s="5"/>
      <c r="W24" s="5"/>
      <c r="X24" s="5"/>
      <c r="Y24" s="5"/>
      <c r="Z24" s="5"/>
      <c r="AA24" s="5"/>
      <c r="AB24" s="5"/>
      <c r="AC24" s="5"/>
      <c r="AD24" s="5"/>
      <c r="AE24" s="5"/>
      <c r="AF24" s="5"/>
      <c r="AG24" s="5"/>
      <c r="AH24" s="5"/>
      <c r="AI24" s="5"/>
      <c r="AJ24" s="5"/>
      <c r="AK24" s="5"/>
      <c r="AL24" s="6"/>
      <c r="AM24" s="171"/>
      <c r="AN24" s="173"/>
      <c r="AO24" s="175"/>
      <c r="AP24" s="153"/>
      <c r="AQ24" s="207"/>
      <c r="AR24" s="209"/>
      <c r="AS24" s="159"/>
      <c r="AT24" s="155"/>
      <c r="AU24" s="157"/>
      <c r="AV24" s="161"/>
      <c r="AW24" s="163"/>
    </row>
    <row r="25" spans="1:50">
      <c r="A25" s="164">
        <v>9</v>
      </c>
      <c r="B25" s="166"/>
      <c r="C25" s="166"/>
      <c r="D25" s="166"/>
      <c r="E25" s="166"/>
      <c r="F25" s="168"/>
      <c r="G25" s="23" t="s">
        <v>90</v>
      </c>
      <c r="H25" s="1"/>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c r="AK25" s="2"/>
      <c r="AL25" s="3"/>
      <c r="AM25" s="170"/>
      <c r="AN25" s="172"/>
      <c r="AO25" s="174"/>
      <c r="AP25" s="152"/>
      <c r="AQ25" s="206" t="e" cm="1">
        <f t="array" ref="AQ25">((SUMPRODUCT(($H$5:$AL$5="Mon")*($H$6:$AL$6&lt;&gt;"PH")*($H$6:$AL$6&lt;&gt;"RH")*($H$6:$AL$6&lt;&gt;"SRD"),H25:AL25)+SUMPRODUCT(($H$5:$AL$5="Tue")*($H$6:$AL$6&lt;&gt;"PH")*($H$6:$AL$6&lt;&gt;"RH")*($H$6:$AL$6&lt;&gt;"SRD"),H25:AL25)+SUMPRODUCT(($H$5:$AL$5="Wed")*($H$6:$AL$6&lt;&gt;"PH")*($H$6:$AL$6&lt;&gt;"RH")*($H$6:$AL$6&lt;&gt;"SRD"),H25:AL25)+SUMPRODUCT(($H$5:$AL$5="Thu")*($H$6:$AL$6&lt;&gt;"PH")*($H$6:$AL$6&lt;&gt;"RH")*($H$6:$AL$6&lt;&gt;"SRD"),H25:AL25)+SUMPRODUCT(($H$5:$AL$5="Fri")*($H$6:$AL$6&lt;&gt;"PH")*($H$6:$AL$6&lt;&gt;"RH")*($H$6:$AL$6&lt;&gt;"SRD"),H25:AL25))+(SUMPRODUCT(($H$5:$AL$5="Mon")*($H$6:$AL$6&lt;&gt;"PH")*($H$6:$AL$6&lt;&gt;"RH")*($H$6:$AL$6&lt;&gt;"SRD"),H26:AL26)+SUMPRODUCT(($H$5:$AL$5="Tue")*($H$6:$AL$6&lt;&gt;"PH")*($H$6:$AL$6&lt;&gt;"RH")*($H$6:$AL$6&lt;&gt;"SRD"),H26:AL26)+SUMPRODUCT(($H$5:$AL$5="Wed")*($H$6:$AL$6&lt;&gt;"PH")*($H$6:$AL$6&lt;&gt;"RH")*($H$6:$AL$6&lt;&gt;"SRD"),H26:AL26)+SUMPRODUCT(($H$5:$AL$5="Thu")*($H$6:$AL$6&lt;&gt;"PH")*($H$6:$AL$6&lt;&gt;"RH")*($H$6:$AL$6&lt;&gt;"SRD"),H26:AL26)+SUMPRODUCT(($H$5:$AL$5="Fri")*($H$6:$AL$6&lt;&gt;"PH")*($H$6:$AL$6&lt;&gt;"RH")*($H$6:$AL$6&lt;&gt;"SRD"),H26:AL26)))/2
+((SUMPRODUCT(($H$5:$AL$5="Sat")*($H$6:$AL$6="SWD"),H25:AL25)+SUMPRODUCT(($H$5:$AL$5="Sun")*($H$6:$AL$6="SWD"),H25:AL25)+SUMPRODUCT(($H$5:$AL$5="Sat")*($H$6:$AL$6="SWD"),H26:AL26)+SUMPRODUCT(($H$5:$AL$5="Sun")*($H$6:$AL$6="SWD"),H26:AL26))/2)</f>
        <v>#VALUE!</v>
      </c>
      <c r="AR25" s="208" t="e" cm="1">
        <f t="array" ref="AR25">((SUMPRODUCT(($H$5:$AL$5="Sat")*($H$6:$AL$6&lt;&gt;"PH")*($H$6:$AL$6&lt;&gt;"SWD"),H25:AL25)+SUMPRODUCT(($H$5:$AL$5="Sun")*($H$6:$AL$6&lt;&gt;"PH")*($H$6:$AL$6&lt;&gt;"SWD"),H25:AL25)+((SUMPRODUCT(($H$5:$AL$5="Mon")*($H$6:$AL$6="RH"),H25:AL25)+((SUMPRODUCT(($H$5:$AL$5="Tue")*($H$6:$AL$6="RH"),H25:AL25)+((SUMPRODUCT(($H$5:$AL$5="Wed")*($H$6:$AL$6="RH"),H25:AL25)+((SUMPRODUCT(($H$5:$AL$5="Thu")*($H$6:$AL$6="RH"),H25:AL25)+((SUMPRODUCT(($H$5:$AL$5="Fri")*($H$6:$AL$6="RH"),H25:AL25)+(SUMPRODUCT(($H$5:$AL$5="Sat")*($H$6:$AL$6&lt;&gt;"PH")*($H$6:$AL$6&lt;&gt;"SWD"),H26:AL26)+SUMPRODUCT(($H$5:$AL$5="Sun")*($H$6:$AL$6&lt;&gt;"PH")*($H$6:$AL$6&lt;&gt;"SWD"),H26:AL26)+((SUMPRODUCT(($H$5:$AL$5="Mon")*($H$6:$AL$6="RH"),H26:AL26)+((SUMPRODUCT(($H$5:$AL$5="Tue")*($H$6:$AL$6="RH"),H26:AL26)+((SUMPRODUCT(($H$5:$AL$5="Wed")*($H$6:$AL$6="RH"),H26:AL26)+((SUMPRODUCT(($H$5:$AL$5="Thu")*($H$6:$AL$6="RH"),H26:AL26)+((SUMPRODUCT(($H$5:$AL$5="Fri")*($H$6:$AL$6="RH"),H26:AL26))))))))))))))))))))))))/2
+((SUMPRODUCT(($H$5:$AL$5="Mon")*($H$6:$AL$6="SRD"),H25:AL25)+((SUMPRODUCT(($H$5:$AL$5="Tue")*($H$6:$AL$6="SRD"),H25:AL25)+((SUMPRODUCT(($H$5:$AL$5="Wed")*($H$6:$AL$6="SRD"),H25:AL25)+((SUMPRODUCT(($H$5:$AL$5="Thu")*($H$6:$AL$6="SRD"),H25:AL25)+((SUMPRODUCT(($H$5:$AL$5="Fri")*($H$6:$AL$6="SRD"),H25:AL25)+((SUMPRODUCT(($H$5:$AL$5="Mon")*($H$6:$AL$6="SRD"),H26:AL26)+((SUMPRODUCT(($H$5:$AL$5="Tue")*($H$6:$AL$6="SRD"),H26:AL26)+((SUMPRODUCT(($H$5:$AL$5="Wed")*($H$6:$AL$6="SRD"),H26:AL26)+((SUMPRODUCT(($H$5:$AL$5="Thu")*($H$6:$AL$6="SRD"),H26:AL26)+((SUMPRODUCT(($H$5:$AL$5="Fri")*($H$6:$AL$6="SRD"),H26:AL26)))))))))))))))))))))/2</f>
        <v>#VALUE!</v>
      </c>
      <c r="AS25" s="158">
        <f t="shared" ref="AS25" si="37">(SUMIF($H$6:$AL$6,"PH",H25:AL25)+SUMIF($H$6:$AL$6,"PH",H26:AL26))/2</f>
        <v>0</v>
      </c>
      <c r="AT25" s="154">
        <f t="shared" ref="AT25" si="38">ROUND(D25/8*AM25*1.5,2)</f>
        <v>0</v>
      </c>
      <c r="AU25" s="156">
        <f t="shared" ref="AU25" si="39">ROUND(D25/8*AN25*2,2)</f>
        <v>0</v>
      </c>
      <c r="AV25" s="160">
        <f t="shared" ref="AV25" si="40">ROUND(D25/8*AO25*3,2)</f>
        <v>0</v>
      </c>
      <c r="AW25" s="162" t="e">
        <f t="shared" ref="AW25" si="41">(D25*(AQ25+2*AR25+3*AS25))+AT25+AU25+AV25+AP25</f>
        <v>#VALUE!</v>
      </c>
    </row>
    <row r="26" spans="1:50" ht="15" thickBot="1">
      <c r="A26" s="165"/>
      <c r="B26" s="167"/>
      <c r="C26" s="167"/>
      <c r="D26" s="167"/>
      <c r="E26" s="167"/>
      <c r="F26" s="169"/>
      <c r="G26" s="27" t="s">
        <v>91</v>
      </c>
      <c r="H26" s="4"/>
      <c r="I26" s="5"/>
      <c r="J26" s="5"/>
      <c r="K26" s="5"/>
      <c r="L26" s="5"/>
      <c r="M26" s="5"/>
      <c r="N26" s="5"/>
      <c r="O26" s="5"/>
      <c r="P26" s="5"/>
      <c r="Q26" s="5"/>
      <c r="R26" s="5"/>
      <c r="S26" s="5"/>
      <c r="T26" s="5"/>
      <c r="U26" s="5"/>
      <c r="V26" s="5"/>
      <c r="W26" s="5"/>
      <c r="X26" s="5"/>
      <c r="Y26" s="5"/>
      <c r="Z26" s="5"/>
      <c r="AA26" s="5"/>
      <c r="AB26" s="5"/>
      <c r="AC26" s="5"/>
      <c r="AD26" s="5"/>
      <c r="AE26" s="5"/>
      <c r="AF26" s="5"/>
      <c r="AG26" s="5"/>
      <c r="AH26" s="5"/>
      <c r="AI26" s="5"/>
      <c r="AJ26" s="5"/>
      <c r="AK26" s="5"/>
      <c r="AL26" s="6"/>
      <c r="AM26" s="171"/>
      <c r="AN26" s="173"/>
      <c r="AO26" s="175"/>
      <c r="AP26" s="153"/>
      <c r="AQ26" s="207"/>
      <c r="AR26" s="209"/>
      <c r="AS26" s="159"/>
      <c r="AT26" s="155"/>
      <c r="AU26" s="157"/>
      <c r="AV26" s="161"/>
      <c r="AW26" s="163"/>
    </row>
    <row r="27" spans="1:50">
      <c r="A27" s="164">
        <v>10</v>
      </c>
      <c r="B27" s="166"/>
      <c r="C27" s="166"/>
      <c r="D27" s="166"/>
      <c r="E27" s="166"/>
      <c r="F27" s="168"/>
      <c r="G27" s="23" t="s">
        <v>90</v>
      </c>
      <c r="H27" s="1"/>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c r="AK27" s="2"/>
      <c r="AL27" s="3"/>
      <c r="AM27" s="170"/>
      <c r="AN27" s="172"/>
      <c r="AO27" s="174"/>
      <c r="AP27" s="152"/>
      <c r="AQ27" s="206" t="e" cm="1">
        <f t="array" ref="AQ27">((SUMPRODUCT(($H$5:$AL$5="Mon")*($H$6:$AL$6&lt;&gt;"PH")*($H$6:$AL$6&lt;&gt;"RH")*($H$6:$AL$6&lt;&gt;"SRD"),H27:AL27)+SUMPRODUCT(($H$5:$AL$5="Tue")*($H$6:$AL$6&lt;&gt;"PH")*($H$6:$AL$6&lt;&gt;"RH")*($H$6:$AL$6&lt;&gt;"SRD"),H27:AL27)+SUMPRODUCT(($H$5:$AL$5="Wed")*($H$6:$AL$6&lt;&gt;"PH")*($H$6:$AL$6&lt;&gt;"RH")*($H$6:$AL$6&lt;&gt;"SRD"),H27:AL27)+SUMPRODUCT(($H$5:$AL$5="Thu")*($H$6:$AL$6&lt;&gt;"PH")*($H$6:$AL$6&lt;&gt;"RH")*($H$6:$AL$6&lt;&gt;"SRD"),H27:AL27)+SUMPRODUCT(($H$5:$AL$5="Fri")*($H$6:$AL$6&lt;&gt;"PH")*($H$6:$AL$6&lt;&gt;"RH")*($H$6:$AL$6&lt;&gt;"SRD"),H27:AL27))+(SUMPRODUCT(($H$5:$AL$5="Mon")*($H$6:$AL$6&lt;&gt;"PH")*($H$6:$AL$6&lt;&gt;"RH")*($H$6:$AL$6&lt;&gt;"SRD"),H28:AL28)+SUMPRODUCT(($H$5:$AL$5="Tue")*($H$6:$AL$6&lt;&gt;"PH")*($H$6:$AL$6&lt;&gt;"RH")*($H$6:$AL$6&lt;&gt;"SRD"),H28:AL28)+SUMPRODUCT(($H$5:$AL$5="Wed")*($H$6:$AL$6&lt;&gt;"PH")*($H$6:$AL$6&lt;&gt;"RH")*($H$6:$AL$6&lt;&gt;"SRD"),H28:AL28)+SUMPRODUCT(($H$5:$AL$5="Thu")*($H$6:$AL$6&lt;&gt;"PH")*($H$6:$AL$6&lt;&gt;"RH")*($H$6:$AL$6&lt;&gt;"SRD"),H28:AL28)+SUMPRODUCT(($H$5:$AL$5="Fri")*($H$6:$AL$6&lt;&gt;"PH")*($H$6:$AL$6&lt;&gt;"RH")*($H$6:$AL$6&lt;&gt;"SRD"),H28:AL28)))/2
+((SUMPRODUCT(($H$5:$AL$5="Sat")*($H$6:$AL$6="SWD"),H27:AL27)+SUMPRODUCT(($H$5:$AL$5="Sun")*($H$6:$AL$6="SWD"),H27:AL27)+SUMPRODUCT(($H$5:$AL$5="Sat")*($H$6:$AL$6="SWD"),H28:AL28)+SUMPRODUCT(($H$5:$AL$5="Sun")*($H$6:$AL$6="SWD"),H28:AL28))/2)</f>
        <v>#VALUE!</v>
      </c>
      <c r="AR27" s="208" t="e" cm="1">
        <f t="array" ref="AR27">((SUMPRODUCT(($H$5:$AL$5="Sat")*($H$6:$AL$6&lt;&gt;"PH")*($H$6:$AL$6&lt;&gt;"SWD"),H27:AL27)+SUMPRODUCT(($H$5:$AL$5="Sun")*($H$6:$AL$6&lt;&gt;"PH")*($H$6:$AL$6&lt;&gt;"SWD"),H27:AL27)+((SUMPRODUCT(($H$5:$AL$5="Mon")*($H$6:$AL$6="RH"),H27:AL27)+((SUMPRODUCT(($H$5:$AL$5="Tue")*($H$6:$AL$6="RH"),H27:AL27)+((SUMPRODUCT(($H$5:$AL$5="Wed")*($H$6:$AL$6="RH"),H27:AL27)+((SUMPRODUCT(($H$5:$AL$5="Thu")*($H$6:$AL$6="RH"),H27:AL27)+((SUMPRODUCT(($H$5:$AL$5="Fri")*($H$6:$AL$6="RH"),H27:AL27)+(SUMPRODUCT(($H$5:$AL$5="Sat")*($H$6:$AL$6&lt;&gt;"PH")*($H$6:$AL$6&lt;&gt;"SWD"),H28:AL28)+SUMPRODUCT(($H$5:$AL$5="Sun")*($H$6:$AL$6&lt;&gt;"PH")*($H$6:$AL$6&lt;&gt;"SWD"),H28:AL28)+((SUMPRODUCT(($H$5:$AL$5="Mon")*($H$6:$AL$6="RH"),H28:AL28)+((SUMPRODUCT(($H$5:$AL$5="Tue")*($H$6:$AL$6="RH"),H28:AL28)+((SUMPRODUCT(($H$5:$AL$5="Wed")*($H$6:$AL$6="RH"),H28:AL28)+((SUMPRODUCT(($H$5:$AL$5="Thu")*($H$6:$AL$6="RH"),H28:AL28)+((SUMPRODUCT(($H$5:$AL$5="Fri")*($H$6:$AL$6="RH"),H28:AL28))))))))))))))))))))))))/2
+((SUMPRODUCT(($H$5:$AL$5="Mon")*($H$6:$AL$6="SRD"),H27:AL27)+((SUMPRODUCT(($H$5:$AL$5="Tue")*($H$6:$AL$6="SRD"),H27:AL27)+((SUMPRODUCT(($H$5:$AL$5="Wed")*($H$6:$AL$6="SRD"),H27:AL27)+((SUMPRODUCT(($H$5:$AL$5="Thu")*($H$6:$AL$6="SRD"),H27:AL27)+((SUMPRODUCT(($H$5:$AL$5="Fri")*($H$6:$AL$6="SRD"),H27:AL27)+((SUMPRODUCT(($H$5:$AL$5="Mon")*($H$6:$AL$6="SRD"),H28:AL28)+((SUMPRODUCT(($H$5:$AL$5="Tue")*($H$6:$AL$6="SRD"),H28:AL28)+((SUMPRODUCT(($H$5:$AL$5="Wed")*($H$6:$AL$6="SRD"),H28:AL28)+((SUMPRODUCT(($H$5:$AL$5="Thu")*($H$6:$AL$6="SRD"),H28:AL28)+((SUMPRODUCT(($H$5:$AL$5="Fri")*($H$6:$AL$6="SRD"),H28:AL28)))))))))))))))))))))/2</f>
        <v>#VALUE!</v>
      </c>
      <c r="AS27" s="158">
        <f t="shared" ref="AS27" si="42">(SUMIF($H$6:$AL$6,"PH",H27:AL27)+SUMIF($H$6:$AL$6,"PH",H28:AL28))/2</f>
        <v>0</v>
      </c>
      <c r="AT27" s="154">
        <f t="shared" ref="AT27" si="43">ROUND(D27/8*AM27*1.5,2)</f>
        <v>0</v>
      </c>
      <c r="AU27" s="156">
        <f t="shared" ref="AU27" si="44">ROUND(D27/8*AN27*2,2)</f>
        <v>0</v>
      </c>
      <c r="AV27" s="160">
        <f t="shared" ref="AV27" si="45">ROUND(D27/8*AO27*3,2)</f>
        <v>0</v>
      </c>
      <c r="AW27" s="162" t="e">
        <f t="shared" ref="AW27" si="46">(D27*(AQ27+2*AR27+3*AS27))+AT27+AU27+AV27+AP27</f>
        <v>#VALUE!</v>
      </c>
    </row>
    <row r="28" spans="1:50" ht="15" thickBot="1">
      <c r="A28" s="165"/>
      <c r="B28" s="167"/>
      <c r="C28" s="167"/>
      <c r="D28" s="167"/>
      <c r="E28" s="167"/>
      <c r="F28" s="169"/>
      <c r="G28" s="27" t="s">
        <v>91</v>
      </c>
      <c r="H28" s="4"/>
      <c r="I28" s="5"/>
      <c r="J28" s="5"/>
      <c r="K28" s="5"/>
      <c r="L28" s="5"/>
      <c r="M28" s="5"/>
      <c r="N28" s="5"/>
      <c r="O28" s="5"/>
      <c r="P28" s="5"/>
      <c r="Q28" s="5"/>
      <c r="R28" s="5"/>
      <c r="S28" s="5"/>
      <c r="T28" s="5"/>
      <c r="U28" s="5"/>
      <c r="V28" s="5"/>
      <c r="W28" s="5"/>
      <c r="X28" s="5"/>
      <c r="Y28" s="5"/>
      <c r="Z28" s="5"/>
      <c r="AA28" s="5"/>
      <c r="AB28" s="5"/>
      <c r="AC28" s="5"/>
      <c r="AD28" s="5"/>
      <c r="AE28" s="5"/>
      <c r="AF28" s="5"/>
      <c r="AG28" s="5"/>
      <c r="AH28" s="5"/>
      <c r="AI28" s="5"/>
      <c r="AJ28" s="5"/>
      <c r="AK28" s="5"/>
      <c r="AL28" s="6"/>
      <c r="AM28" s="171"/>
      <c r="AN28" s="173"/>
      <c r="AO28" s="175"/>
      <c r="AP28" s="153"/>
      <c r="AQ28" s="207"/>
      <c r="AR28" s="209"/>
      <c r="AS28" s="159"/>
      <c r="AT28" s="155"/>
      <c r="AU28" s="157"/>
      <c r="AV28" s="161"/>
      <c r="AW28" s="163"/>
    </row>
    <row r="29" spans="1:50">
      <c r="A29" s="164">
        <v>11</v>
      </c>
      <c r="B29" s="166"/>
      <c r="C29" s="166"/>
      <c r="D29" s="166"/>
      <c r="E29" s="166"/>
      <c r="F29" s="168"/>
      <c r="G29" s="23" t="s">
        <v>90</v>
      </c>
      <c r="H29" s="1"/>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c r="AK29" s="2"/>
      <c r="AL29" s="3"/>
      <c r="AM29" s="170"/>
      <c r="AN29" s="172"/>
      <c r="AO29" s="174"/>
      <c r="AP29" s="152"/>
      <c r="AQ29" s="206" t="e" cm="1">
        <f t="array" ref="AQ29">((SUMPRODUCT(($H$5:$AL$5="Mon")*($H$6:$AL$6&lt;&gt;"PH")*($H$6:$AL$6&lt;&gt;"RH")*($H$6:$AL$6&lt;&gt;"SRD"),H29:AL29)+SUMPRODUCT(($H$5:$AL$5="Tue")*($H$6:$AL$6&lt;&gt;"PH")*($H$6:$AL$6&lt;&gt;"RH")*($H$6:$AL$6&lt;&gt;"SRD"),H29:AL29)+SUMPRODUCT(($H$5:$AL$5="Wed")*($H$6:$AL$6&lt;&gt;"PH")*($H$6:$AL$6&lt;&gt;"RH")*($H$6:$AL$6&lt;&gt;"SRD"),H29:AL29)+SUMPRODUCT(($H$5:$AL$5="Thu")*($H$6:$AL$6&lt;&gt;"PH")*($H$6:$AL$6&lt;&gt;"RH")*($H$6:$AL$6&lt;&gt;"SRD"),H29:AL29)+SUMPRODUCT(($H$5:$AL$5="Fri")*($H$6:$AL$6&lt;&gt;"PH")*($H$6:$AL$6&lt;&gt;"RH")*($H$6:$AL$6&lt;&gt;"SRD"),H29:AL29))+(SUMPRODUCT(($H$5:$AL$5="Mon")*($H$6:$AL$6&lt;&gt;"PH")*($H$6:$AL$6&lt;&gt;"RH")*($H$6:$AL$6&lt;&gt;"SRD"),H30:AL30)+SUMPRODUCT(($H$5:$AL$5="Tue")*($H$6:$AL$6&lt;&gt;"PH")*($H$6:$AL$6&lt;&gt;"RH")*($H$6:$AL$6&lt;&gt;"SRD"),H30:AL30)+SUMPRODUCT(($H$5:$AL$5="Wed")*($H$6:$AL$6&lt;&gt;"PH")*($H$6:$AL$6&lt;&gt;"RH")*($H$6:$AL$6&lt;&gt;"SRD"),H30:AL30)+SUMPRODUCT(($H$5:$AL$5="Thu")*($H$6:$AL$6&lt;&gt;"PH")*($H$6:$AL$6&lt;&gt;"RH")*($H$6:$AL$6&lt;&gt;"SRD"),H30:AL30)+SUMPRODUCT(($H$5:$AL$5="Fri")*($H$6:$AL$6&lt;&gt;"PH")*($H$6:$AL$6&lt;&gt;"RH")*($H$6:$AL$6&lt;&gt;"SRD"),H30:AL30)))/2
+((SUMPRODUCT(($H$5:$AL$5="Sat")*($H$6:$AL$6="SWD"),H29:AL29)+SUMPRODUCT(($H$5:$AL$5="Sun")*($H$6:$AL$6="SWD"),H29:AL29)+SUMPRODUCT(($H$5:$AL$5="Sat")*($H$6:$AL$6="SWD"),H30:AL30)+SUMPRODUCT(($H$5:$AL$5="Sun")*($H$6:$AL$6="SWD"),H30:AL30))/2)</f>
        <v>#VALUE!</v>
      </c>
      <c r="AR29" s="208" t="e" cm="1">
        <f t="array" ref="AR29">((SUMPRODUCT(($H$5:$AL$5="Sat")*($H$6:$AL$6&lt;&gt;"PH")*($H$6:$AL$6&lt;&gt;"SWD"),H29:AL29)+SUMPRODUCT(($H$5:$AL$5="Sun")*($H$6:$AL$6&lt;&gt;"PH")*($H$6:$AL$6&lt;&gt;"SWD"),H29:AL29)+((SUMPRODUCT(($H$5:$AL$5="Mon")*($H$6:$AL$6="RH"),H29:AL29)+((SUMPRODUCT(($H$5:$AL$5="Tue")*($H$6:$AL$6="RH"),H29:AL29)+((SUMPRODUCT(($H$5:$AL$5="Wed")*($H$6:$AL$6="RH"),H29:AL29)+((SUMPRODUCT(($H$5:$AL$5="Thu")*($H$6:$AL$6="RH"),H29:AL29)+((SUMPRODUCT(($H$5:$AL$5="Fri")*($H$6:$AL$6="RH"),H29:AL29)+(SUMPRODUCT(($H$5:$AL$5="Sat")*($H$6:$AL$6&lt;&gt;"PH")*($H$6:$AL$6&lt;&gt;"SWD"),H30:AL30)+SUMPRODUCT(($H$5:$AL$5="Sun")*($H$6:$AL$6&lt;&gt;"PH")*($H$6:$AL$6&lt;&gt;"SWD"),H30:AL30)+((SUMPRODUCT(($H$5:$AL$5="Mon")*($H$6:$AL$6="RH"),H30:AL30)+((SUMPRODUCT(($H$5:$AL$5="Tue")*($H$6:$AL$6="RH"),H30:AL30)+((SUMPRODUCT(($H$5:$AL$5="Wed")*($H$6:$AL$6="RH"),H30:AL30)+((SUMPRODUCT(($H$5:$AL$5="Thu")*($H$6:$AL$6="RH"),H30:AL30)+((SUMPRODUCT(($H$5:$AL$5="Fri")*($H$6:$AL$6="RH"),H30:AL30))))))))))))))))))))))))/2
+((SUMPRODUCT(($H$5:$AL$5="Mon")*($H$6:$AL$6="SRD"),H29:AL29)+((SUMPRODUCT(($H$5:$AL$5="Tue")*($H$6:$AL$6="SRD"),H29:AL29)+((SUMPRODUCT(($H$5:$AL$5="Wed")*($H$6:$AL$6="SRD"),H29:AL29)+((SUMPRODUCT(($H$5:$AL$5="Thu")*($H$6:$AL$6="SRD"),H29:AL29)+((SUMPRODUCT(($H$5:$AL$5="Fri")*($H$6:$AL$6="SRD"),H29:AL29)+((SUMPRODUCT(($H$5:$AL$5="Mon")*($H$6:$AL$6="SRD"),H30:AL30)+((SUMPRODUCT(($H$5:$AL$5="Tue")*($H$6:$AL$6="SRD"),H30:AL30)+((SUMPRODUCT(($H$5:$AL$5="Wed")*($H$6:$AL$6="SRD"),H30:AL30)+((SUMPRODUCT(($H$5:$AL$5="Thu")*($H$6:$AL$6="SRD"),H30:AL30)+((SUMPRODUCT(($H$5:$AL$5="Fri")*($H$6:$AL$6="SRD"),H30:AL30)))))))))))))))))))))/2</f>
        <v>#VALUE!</v>
      </c>
      <c r="AS29" s="158">
        <f t="shared" ref="AS29" si="47">(SUMIF($H$6:$AL$6,"PH",H29:AL29)+SUMIF($H$6:$AL$6,"PH",H30:AL30))/2</f>
        <v>0</v>
      </c>
      <c r="AT29" s="154">
        <f t="shared" ref="AT29" si="48">ROUND(D29/8*AM29*1.5,2)</f>
        <v>0</v>
      </c>
      <c r="AU29" s="156">
        <f t="shared" ref="AU29" si="49">ROUND(D29/8*AN29*2,2)</f>
        <v>0</v>
      </c>
      <c r="AV29" s="160">
        <f t="shared" ref="AV29" si="50">ROUND(D29/8*AO29*3,2)</f>
        <v>0</v>
      </c>
      <c r="AW29" s="162" t="e">
        <f t="shared" ref="AW29" si="51">(D29*(AQ29+2*AR29+3*AS29))+AT29+AU29+AV29+AP29</f>
        <v>#VALUE!</v>
      </c>
    </row>
    <row r="30" spans="1:50" ht="15" thickBot="1">
      <c r="A30" s="165"/>
      <c r="B30" s="167"/>
      <c r="C30" s="167"/>
      <c r="D30" s="167"/>
      <c r="E30" s="167"/>
      <c r="F30" s="169"/>
      <c r="G30" s="27" t="s">
        <v>91</v>
      </c>
      <c r="H30" s="4"/>
      <c r="I30" s="5"/>
      <c r="J30" s="5"/>
      <c r="K30" s="5"/>
      <c r="L30" s="5"/>
      <c r="M30" s="5"/>
      <c r="N30" s="5"/>
      <c r="O30" s="5"/>
      <c r="P30" s="5"/>
      <c r="Q30" s="5"/>
      <c r="R30" s="5"/>
      <c r="S30" s="5"/>
      <c r="T30" s="5"/>
      <c r="U30" s="5"/>
      <c r="V30" s="5"/>
      <c r="W30" s="5"/>
      <c r="X30" s="5"/>
      <c r="Y30" s="5"/>
      <c r="Z30" s="5"/>
      <c r="AA30" s="5"/>
      <c r="AB30" s="5"/>
      <c r="AC30" s="5"/>
      <c r="AD30" s="5"/>
      <c r="AE30" s="5"/>
      <c r="AF30" s="5"/>
      <c r="AG30" s="5"/>
      <c r="AH30" s="5"/>
      <c r="AI30" s="5"/>
      <c r="AJ30" s="5"/>
      <c r="AK30" s="5"/>
      <c r="AL30" s="6"/>
      <c r="AM30" s="171"/>
      <c r="AN30" s="173"/>
      <c r="AO30" s="175"/>
      <c r="AP30" s="153"/>
      <c r="AQ30" s="207"/>
      <c r="AR30" s="209"/>
      <c r="AS30" s="159"/>
      <c r="AT30" s="155"/>
      <c r="AU30" s="157"/>
      <c r="AV30" s="161"/>
      <c r="AW30" s="163"/>
    </row>
    <row r="31" spans="1:50">
      <c r="A31" s="164">
        <v>12</v>
      </c>
      <c r="B31" s="166"/>
      <c r="C31" s="166"/>
      <c r="D31" s="166"/>
      <c r="E31" s="166"/>
      <c r="F31" s="168"/>
      <c r="G31" s="23" t="s">
        <v>90</v>
      </c>
      <c r="H31" s="1"/>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c r="AK31" s="2"/>
      <c r="AL31" s="3"/>
      <c r="AM31" s="170"/>
      <c r="AN31" s="172"/>
      <c r="AO31" s="174"/>
      <c r="AP31" s="152"/>
      <c r="AQ31" s="206" t="e" cm="1">
        <f t="array" ref="AQ31">((SUMPRODUCT(($H$5:$AL$5="Mon")*($H$6:$AL$6&lt;&gt;"PH")*($H$6:$AL$6&lt;&gt;"RH")*($H$6:$AL$6&lt;&gt;"SRD"),H31:AL31)+SUMPRODUCT(($H$5:$AL$5="Tue")*($H$6:$AL$6&lt;&gt;"PH")*($H$6:$AL$6&lt;&gt;"RH")*($H$6:$AL$6&lt;&gt;"SRD"),H31:AL31)+SUMPRODUCT(($H$5:$AL$5="Wed")*($H$6:$AL$6&lt;&gt;"PH")*($H$6:$AL$6&lt;&gt;"RH")*($H$6:$AL$6&lt;&gt;"SRD"),H31:AL31)+SUMPRODUCT(($H$5:$AL$5="Thu")*($H$6:$AL$6&lt;&gt;"PH")*($H$6:$AL$6&lt;&gt;"RH")*($H$6:$AL$6&lt;&gt;"SRD"),H31:AL31)+SUMPRODUCT(($H$5:$AL$5="Fri")*($H$6:$AL$6&lt;&gt;"PH")*($H$6:$AL$6&lt;&gt;"RH")*($H$6:$AL$6&lt;&gt;"SRD"),H31:AL31))+(SUMPRODUCT(($H$5:$AL$5="Mon")*($H$6:$AL$6&lt;&gt;"PH")*($H$6:$AL$6&lt;&gt;"RH")*($H$6:$AL$6&lt;&gt;"SRD"),H32:AL32)+SUMPRODUCT(($H$5:$AL$5="Tue")*($H$6:$AL$6&lt;&gt;"PH")*($H$6:$AL$6&lt;&gt;"RH")*($H$6:$AL$6&lt;&gt;"SRD"),H32:AL32)+SUMPRODUCT(($H$5:$AL$5="Wed")*($H$6:$AL$6&lt;&gt;"PH")*($H$6:$AL$6&lt;&gt;"RH")*($H$6:$AL$6&lt;&gt;"SRD"),H32:AL32)+SUMPRODUCT(($H$5:$AL$5="Thu")*($H$6:$AL$6&lt;&gt;"PH")*($H$6:$AL$6&lt;&gt;"RH")*($H$6:$AL$6&lt;&gt;"SRD"),H32:AL32)+SUMPRODUCT(($H$5:$AL$5="Fri")*($H$6:$AL$6&lt;&gt;"PH")*($H$6:$AL$6&lt;&gt;"RH")*($H$6:$AL$6&lt;&gt;"SRD"),H32:AL32)))/2
+((SUMPRODUCT(($H$5:$AL$5="Sat")*($H$6:$AL$6="SWD"),H31:AL31)+SUMPRODUCT(($H$5:$AL$5="Sun")*($H$6:$AL$6="SWD"),H31:AL31)+SUMPRODUCT(($H$5:$AL$5="Sat")*($H$6:$AL$6="SWD"),H32:AL32)+SUMPRODUCT(($H$5:$AL$5="Sun")*($H$6:$AL$6="SWD"),H32:AL32))/2)</f>
        <v>#VALUE!</v>
      </c>
      <c r="AR31" s="208" t="e" cm="1">
        <f t="array" ref="AR31">((SUMPRODUCT(($H$5:$AL$5="Sat")*($H$6:$AL$6&lt;&gt;"PH")*($H$6:$AL$6&lt;&gt;"SWD"),H31:AL31)+SUMPRODUCT(($H$5:$AL$5="Sun")*($H$6:$AL$6&lt;&gt;"PH")*($H$6:$AL$6&lt;&gt;"SWD"),H31:AL31)+((SUMPRODUCT(($H$5:$AL$5="Mon")*($H$6:$AL$6="RH"),H31:AL31)+((SUMPRODUCT(($H$5:$AL$5="Tue")*($H$6:$AL$6="RH"),H31:AL31)+((SUMPRODUCT(($H$5:$AL$5="Wed")*($H$6:$AL$6="RH"),H31:AL31)+((SUMPRODUCT(($H$5:$AL$5="Thu")*($H$6:$AL$6="RH"),H31:AL31)+((SUMPRODUCT(($H$5:$AL$5="Fri")*($H$6:$AL$6="RH"),H31:AL31)+(SUMPRODUCT(($H$5:$AL$5="Sat")*($H$6:$AL$6&lt;&gt;"PH")*($H$6:$AL$6&lt;&gt;"SWD"),H32:AL32)+SUMPRODUCT(($H$5:$AL$5="Sun")*($H$6:$AL$6&lt;&gt;"PH")*($H$6:$AL$6&lt;&gt;"SWD"),H32:AL32)+((SUMPRODUCT(($H$5:$AL$5="Mon")*($H$6:$AL$6="RH"),H32:AL32)+((SUMPRODUCT(($H$5:$AL$5="Tue")*($H$6:$AL$6="RH"),H32:AL32)+((SUMPRODUCT(($H$5:$AL$5="Wed")*($H$6:$AL$6="RH"),H32:AL32)+((SUMPRODUCT(($H$5:$AL$5="Thu")*($H$6:$AL$6="RH"),H32:AL32)+((SUMPRODUCT(($H$5:$AL$5="Fri")*($H$6:$AL$6="RH"),H32:AL32))))))))))))))))))))))))/2
+((SUMPRODUCT(($H$5:$AL$5="Mon")*($H$6:$AL$6="SRD"),H31:AL31)+((SUMPRODUCT(($H$5:$AL$5="Tue")*($H$6:$AL$6="SRD"),H31:AL31)+((SUMPRODUCT(($H$5:$AL$5="Wed")*($H$6:$AL$6="SRD"),H31:AL31)+((SUMPRODUCT(($H$5:$AL$5="Thu")*($H$6:$AL$6="SRD"),H31:AL31)+((SUMPRODUCT(($H$5:$AL$5="Fri")*($H$6:$AL$6="SRD"),H31:AL31)+((SUMPRODUCT(($H$5:$AL$5="Mon")*($H$6:$AL$6="SRD"),H32:AL32)+((SUMPRODUCT(($H$5:$AL$5="Tue")*($H$6:$AL$6="SRD"),H32:AL32)+((SUMPRODUCT(($H$5:$AL$5="Wed")*($H$6:$AL$6="SRD"),H32:AL32)+((SUMPRODUCT(($H$5:$AL$5="Thu")*($H$6:$AL$6="SRD"),H32:AL32)+((SUMPRODUCT(($H$5:$AL$5="Fri")*($H$6:$AL$6="SRD"),H32:AL32)))))))))))))))))))))/2</f>
        <v>#VALUE!</v>
      </c>
      <c r="AS31" s="158">
        <f t="shared" ref="AS31" si="52">(SUMIF($H$6:$AL$6,"PH",H31:AL31)+SUMIF($H$6:$AL$6,"PH",H32:AL32))/2</f>
        <v>0</v>
      </c>
      <c r="AT31" s="154">
        <f t="shared" ref="AT31" si="53">ROUND(D31/8*AM31*1.5,2)</f>
        <v>0</v>
      </c>
      <c r="AU31" s="156">
        <f t="shared" ref="AU31" si="54">ROUND(D31/8*AN31*2,2)</f>
        <v>0</v>
      </c>
      <c r="AV31" s="160">
        <f t="shared" ref="AV31" si="55">ROUND(D31/8*AO31*3,2)</f>
        <v>0</v>
      </c>
      <c r="AW31" s="162" t="e">
        <f t="shared" ref="AW31" si="56">(D31*(AQ31+2*AR31+3*AS31))+AT31+AU31+AV31+AP31</f>
        <v>#VALUE!</v>
      </c>
    </row>
    <row r="32" spans="1:50" ht="15" thickBot="1">
      <c r="A32" s="165"/>
      <c r="B32" s="167"/>
      <c r="C32" s="167"/>
      <c r="D32" s="167"/>
      <c r="E32" s="167"/>
      <c r="F32" s="169"/>
      <c r="G32" s="27" t="s">
        <v>91</v>
      </c>
      <c r="H32" s="4"/>
      <c r="I32" s="5"/>
      <c r="J32" s="5"/>
      <c r="K32" s="5"/>
      <c r="L32" s="5"/>
      <c r="M32" s="5"/>
      <c r="N32" s="5"/>
      <c r="O32" s="5"/>
      <c r="P32" s="5"/>
      <c r="Q32" s="5"/>
      <c r="R32" s="5"/>
      <c r="S32" s="5"/>
      <c r="T32" s="5"/>
      <c r="U32" s="5"/>
      <c r="V32" s="5"/>
      <c r="W32" s="5"/>
      <c r="X32" s="5"/>
      <c r="Y32" s="5"/>
      <c r="Z32" s="5"/>
      <c r="AA32" s="5"/>
      <c r="AB32" s="5"/>
      <c r="AC32" s="5"/>
      <c r="AD32" s="5"/>
      <c r="AE32" s="5"/>
      <c r="AF32" s="5"/>
      <c r="AG32" s="5"/>
      <c r="AH32" s="5"/>
      <c r="AI32" s="5"/>
      <c r="AJ32" s="5"/>
      <c r="AK32" s="5"/>
      <c r="AL32" s="6"/>
      <c r="AM32" s="171"/>
      <c r="AN32" s="173"/>
      <c r="AO32" s="175"/>
      <c r="AP32" s="153"/>
      <c r="AQ32" s="207"/>
      <c r="AR32" s="209"/>
      <c r="AS32" s="159"/>
      <c r="AT32" s="155"/>
      <c r="AU32" s="157"/>
      <c r="AV32" s="161"/>
      <c r="AW32" s="163"/>
    </row>
    <row r="33" spans="1:49">
      <c r="A33" s="164">
        <v>13</v>
      </c>
      <c r="B33" s="166"/>
      <c r="C33" s="166"/>
      <c r="D33" s="166"/>
      <c r="E33" s="166"/>
      <c r="F33" s="168"/>
      <c r="G33" s="23" t="s">
        <v>90</v>
      </c>
      <c r="H33" s="1"/>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c r="AK33" s="2"/>
      <c r="AL33" s="3"/>
      <c r="AM33" s="170"/>
      <c r="AN33" s="172"/>
      <c r="AO33" s="174"/>
      <c r="AP33" s="152"/>
      <c r="AQ33" s="206" t="e" cm="1">
        <f t="array" ref="AQ33">((SUMPRODUCT(($H$5:$AL$5="Mon")*($H$6:$AL$6&lt;&gt;"PH")*($H$6:$AL$6&lt;&gt;"RH")*($H$6:$AL$6&lt;&gt;"SRD"),H33:AL33)+SUMPRODUCT(($H$5:$AL$5="Tue")*($H$6:$AL$6&lt;&gt;"PH")*($H$6:$AL$6&lt;&gt;"RH")*($H$6:$AL$6&lt;&gt;"SRD"),H33:AL33)+SUMPRODUCT(($H$5:$AL$5="Wed")*($H$6:$AL$6&lt;&gt;"PH")*($H$6:$AL$6&lt;&gt;"RH")*($H$6:$AL$6&lt;&gt;"SRD"),H33:AL33)+SUMPRODUCT(($H$5:$AL$5="Thu")*($H$6:$AL$6&lt;&gt;"PH")*($H$6:$AL$6&lt;&gt;"RH")*($H$6:$AL$6&lt;&gt;"SRD"),H33:AL33)+SUMPRODUCT(($H$5:$AL$5="Fri")*($H$6:$AL$6&lt;&gt;"PH")*($H$6:$AL$6&lt;&gt;"RH")*($H$6:$AL$6&lt;&gt;"SRD"),H33:AL33))+(SUMPRODUCT(($H$5:$AL$5="Mon")*($H$6:$AL$6&lt;&gt;"PH")*($H$6:$AL$6&lt;&gt;"RH")*($H$6:$AL$6&lt;&gt;"SRD"),H34:AL34)+SUMPRODUCT(($H$5:$AL$5="Tue")*($H$6:$AL$6&lt;&gt;"PH")*($H$6:$AL$6&lt;&gt;"RH")*($H$6:$AL$6&lt;&gt;"SRD"),H34:AL34)+SUMPRODUCT(($H$5:$AL$5="Wed")*($H$6:$AL$6&lt;&gt;"PH")*($H$6:$AL$6&lt;&gt;"RH")*($H$6:$AL$6&lt;&gt;"SRD"),H34:AL34)+SUMPRODUCT(($H$5:$AL$5="Thu")*($H$6:$AL$6&lt;&gt;"PH")*($H$6:$AL$6&lt;&gt;"RH")*($H$6:$AL$6&lt;&gt;"SRD"),H34:AL34)+SUMPRODUCT(($H$5:$AL$5="Fri")*($H$6:$AL$6&lt;&gt;"PH")*($H$6:$AL$6&lt;&gt;"RH")*($H$6:$AL$6&lt;&gt;"SRD"),H34:AL34)))/2
+((SUMPRODUCT(($H$5:$AL$5="Sat")*($H$6:$AL$6="SWD"),H33:AL33)+SUMPRODUCT(($H$5:$AL$5="Sun")*($H$6:$AL$6="SWD"),H33:AL33)+SUMPRODUCT(($H$5:$AL$5="Sat")*($H$6:$AL$6="SWD"),H34:AL34)+SUMPRODUCT(($H$5:$AL$5="Sun")*($H$6:$AL$6="SWD"),H34:AL34))/2)</f>
        <v>#VALUE!</v>
      </c>
      <c r="AR33" s="208" t="e" cm="1">
        <f t="array" ref="AR33">((SUMPRODUCT(($H$5:$AL$5="Sat")*($H$6:$AL$6&lt;&gt;"PH")*($H$6:$AL$6&lt;&gt;"SWD"),H33:AL33)+SUMPRODUCT(($H$5:$AL$5="Sun")*($H$6:$AL$6&lt;&gt;"PH")*($H$6:$AL$6&lt;&gt;"SWD"),H33:AL33)+((SUMPRODUCT(($H$5:$AL$5="Mon")*($H$6:$AL$6="RH"),H33:AL33)+((SUMPRODUCT(($H$5:$AL$5="Tue")*($H$6:$AL$6="RH"),H33:AL33)+((SUMPRODUCT(($H$5:$AL$5="Wed")*($H$6:$AL$6="RH"),H33:AL33)+((SUMPRODUCT(($H$5:$AL$5="Thu")*($H$6:$AL$6="RH"),H33:AL33)+((SUMPRODUCT(($H$5:$AL$5="Fri")*($H$6:$AL$6="RH"),H33:AL33)+(SUMPRODUCT(($H$5:$AL$5="Sat")*($H$6:$AL$6&lt;&gt;"PH")*($H$6:$AL$6&lt;&gt;"SWD"),H34:AL34)+SUMPRODUCT(($H$5:$AL$5="Sun")*($H$6:$AL$6&lt;&gt;"PH")*($H$6:$AL$6&lt;&gt;"SWD"),H34:AL34)+((SUMPRODUCT(($H$5:$AL$5="Mon")*($H$6:$AL$6="RH"),H34:AL34)+((SUMPRODUCT(($H$5:$AL$5="Tue")*($H$6:$AL$6="RH"),H34:AL34)+((SUMPRODUCT(($H$5:$AL$5="Wed")*($H$6:$AL$6="RH"),H34:AL34)+((SUMPRODUCT(($H$5:$AL$5="Thu")*($H$6:$AL$6="RH"),H34:AL34)+((SUMPRODUCT(($H$5:$AL$5="Fri")*($H$6:$AL$6="RH"),H34:AL34))))))))))))))))))))))))/2
+((SUMPRODUCT(($H$5:$AL$5="Mon")*($H$6:$AL$6="SRD"),H33:AL33)+((SUMPRODUCT(($H$5:$AL$5="Tue")*($H$6:$AL$6="SRD"),H33:AL33)+((SUMPRODUCT(($H$5:$AL$5="Wed")*($H$6:$AL$6="SRD"),H33:AL33)+((SUMPRODUCT(($H$5:$AL$5="Thu")*($H$6:$AL$6="SRD"),H33:AL33)+((SUMPRODUCT(($H$5:$AL$5="Fri")*($H$6:$AL$6="SRD"),H33:AL33)+((SUMPRODUCT(($H$5:$AL$5="Mon")*($H$6:$AL$6="SRD"),H34:AL34)+((SUMPRODUCT(($H$5:$AL$5="Tue")*($H$6:$AL$6="SRD"),H34:AL34)+((SUMPRODUCT(($H$5:$AL$5="Wed")*($H$6:$AL$6="SRD"),H34:AL34)+((SUMPRODUCT(($H$5:$AL$5="Thu")*($H$6:$AL$6="SRD"),H34:AL34)+((SUMPRODUCT(($H$5:$AL$5="Fri")*($H$6:$AL$6="SRD"),H34:AL34)))))))))))))))))))))/2</f>
        <v>#VALUE!</v>
      </c>
      <c r="AS33" s="158">
        <f t="shared" ref="AS33" si="57">(SUMIF($H$6:$AL$6,"PH",H33:AL33)+SUMIF($H$6:$AL$6,"PH",H34:AL34))/2</f>
        <v>0</v>
      </c>
      <c r="AT33" s="154">
        <f t="shared" ref="AT33" si="58">ROUND(D33/8*AM33*1.5,2)</f>
        <v>0</v>
      </c>
      <c r="AU33" s="156">
        <f t="shared" ref="AU33" si="59">ROUND(D33/8*AN33*2,2)</f>
        <v>0</v>
      </c>
      <c r="AV33" s="160">
        <f t="shared" ref="AV33" si="60">ROUND(D33/8*AO33*3,2)</f>
        <v>0</v>
      </c>
      <c r="AW33" s="162" t="e">
        <f t="shared" ref="AW33" si="61">(D33*(AQ33+2*AR33+3*AS33))+AT33+AU33+AV33+AP33</f>
        <v>#VALUE!</v>
      </c>
    </row>
    <row r="34" spans="1:49" ht="15" thickBot="1">
      <c r="A34" s="165"/>
      <c r="B34" s="167"/>
      <c r="C34" s="167"/>
      <c r="D34" s="167"/>
      <c r="E34" s="167"/>
      <c r="F34" s="169"/>
      <c r="G34" s="27" t="s">
        <v>91</v>
      </c>
      <c r="H34" s="4"/>
      <c r="I34" s="5"/>
      <c r="J34" s="5"/>
      <c r="K34" s="5"/>
      <c r="L34" s="5"/>
      <c r="M34" s="5"/>
      <c r="N34" s="5"/>
      <c r="O34" s="5"/>
      <c r="P34" s="5"/>
      <c r="Q34" s="5"/>
      <c r="R34" s="5"/>
      <c r="S34" s="5"/>
      <c r="T34" s="5"/>
      <c r="U34" s="5"/>
      <c r="V34" s="5"/>
      <c r="W34" s="5"/>
      <c r="X34" s="5"/>
      <c r="Y34" s="5"/>
      <c r="Z34" s="5"/>
      <c r="AA34" s="5"/>
      <c r="AB34" s="5"/>
      <c r="AC34" s="5"/>
      <c r="AD34" s="5"/>
      <c r="AE34" s="5"/>
      <c r="AF34" s="5"/>
      <c r="AG34" s="5"/>
      <c r="AH34" s="5"/>
      <c r="AI34" s="5"/>
      <c r="AJ34" s="5"/>
      <c r="AK34" s="5"/>
      <c r="AL34" s="6"/>
      <c r="AM34" s="171"/>
      <c r="AN34" s="173"/>
      <c r="AO34" s="175"/>
      <c r="AP34" s="153"/>
      <c r="AQ34" s="207"/>
      <c r="AR34" s="209"/>
      <c r="AS34" s="159"/>
      <c r="AT34" s="155"/>
      <c r="AU34" s="157"/>
      <c r="AV34" s="161"/>
      <c r="AW34" s="163"/>
    </row>
    <row r="35" spans="1:49">
      <c r="A35" s="164">
        <v>14</v>
      </c>
      <c r="B35" s="166"/>
      <c r="C35" s="166"/>
      <c r="D35" s="166"/>
      <c r="E35" s="166"/>
      <c r="F35" s="168"/>
      <c r="G35" s="23" t="s">
        <v>90</v>
      </c>
      <c r="H35" s="1"/>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3"/>
      <c r="AM35" s="170"/>
      <c r="AN35" s="172"/>
      <c r="AO35" s="174"/>
      <c r="AP35" s="152"/>
      <c r="AQ35" s="206" t="e" cm="1">
        <f t="array" ref="AQ35">((SUMPRODUCT(($H$5:$AL$5="Mon")*($H$6:$AL$6&lt;&gt;"PH")*($H$6:$AL$6&lt;&gt;"RH")*($H$6:$AL$6&lt;&gt;"SRD"),H35:AL35)+SUMPRODUCT(($H$5:$AL$5="Tue")*($H$6:$AL$6&lt;&gt;"PH")*($H$6:$AL$6&lt;&gt;"RH")*($H$6:$AL$6&lt;&gt;"SRD"),H35:AL35)+SUMPRODUCT(($H$5:$AL$5="Wed")*($H$6:$AL$6&lt;&gt;"PH")*($H$6:$AL$6&lt;&gt;"RH")*($H$6:$AL$6&lt;&gt;"SRD"),H35:AL35)+SUMPRODUCT(($H$5:$AL$5="Thu")*($H$6:$AL$6&lt;&gt;"PH")*($H$6:$AL$6&lt;&gt;"RH")*($H$6:$AL$6&lt;&gt;"SRD"),H35:AL35)+SUMPRODUCT(($H$5:$AL$5="Fri")*($H$6:$AL$6&lt;&gt;"PH")*($H$6:$AL$6&lt;&gt;"RH")*($H$6:$AL$6&lt;&gt;"SRD"),H35:AL35))+(SUMPRODUCT(($H$5:$AL$5="Mon")*($H$6:$AL$6&lt;&gt;"PH")*($H$6:$AL$6&lt;&gt;"RH")*($H$6:$AL$6&lt;&gt;"SRD"),H36:AL36)+SUMPRODUCT(($H$5:$AL$5="Tue")*($H$6:$AL$6&lt;&gt;"PH")*($H$6:$AL$6&lt;&gt;"RH")*($H$6:$AL$6&lt;&gt;"SRD"),H36:AL36)+SUMPRODUCT(($H$5:$AL$5="Wed")*($H$6:$AL$6&lt;&gt;"PH")*($H$6:$AL$6&lt;&gt;"RH")*($H$6:$AL$6&lt;&gt;"SRD"),H36:AL36)+SUMPRODUCT(($H$5:$AL$5="Thu")*($H$6:$AL$6&lt;&gt;"PH")*($H$6:$AL$6&lt;&gt;"RH")*($H$6:$AL$6&lt;&gt;"SRD"),H36:AL36)+SUMPRODUCT(($H$5:$AL$5="Fri")*($H$6:$AL$6&lt;&gt;"PH")*($H$6:$AL$6&lt;&gt;"RH")*($H$6:$AL$6&lt;&gt;"SRD"),H36:AL36)))/2
+((SUMPRODUCT(($H$5:$AL$5="Sat")*($H$6:$AL$6="SWD"),H35:AL35)+SUMPRODUCT(($H$5:$AL$5="Sun")*($H$6:$AL$6="SWD"),H35:AL35)+SUMPRODUCT(($H$5:$AL$5="Sat")*($H$6:$AL$6="SWD"),H36:AL36)+SUMPRODUCT(($H$5:$AL$5="Sun")*($H$6:$AL$6="SWD"),H36:AL36))/2)</f>
        <v>#VALUE!</v>
      </c>
      <c r="AR35" s="208" t="e" cm="1">
        <f t="array" ref="AR35">((SUMPRODUCT(($H$5:$AL$5="Sat")*($H$6:$AL$6&lt;&gt;"PH")*($H$6:$AL$6&lt;&gt;"SWD"),H35:AL35)+SUMPRODUCT(($H$5:$AL$5="Sun")*($H$6:$AL$6&lt;&gt;"PH")*($H$6:$AL$6&lt;&gt;"SWD"),H35:AL35)+((SUMPRODUCT(($H$5:$AL$5="Mon")*($H$6:$AL$6="RH"),H35:AL35)+((SUMPRODUCT(($H$5:$AL$5="Tue")*($H$6:$AL$6="RH"),H35:AL35)+((SUMPRODUCT(($H$5:$AL$5="Wed")*($H$6:$AL$6="RH"),H35:AL35)+((SUMPRODUCT(($H$5:$AL$5="Thu")*($H$6:$AL$6="RH"),H35:AL35)+((SUMPRODUCT(($H$5:$AL$5="Fri")*($H$6:$AL$6="RH"),H35:AL35)+(SUMPRODUCT(($H$5:$AL$5="Sat")*($H$6:$AL$6&lt;&gt;"PH")*($H$6:$AL$6&lt;&gt;"SWD"),H36:AL36)+SUMPRODUCT(($H$5:$AL$5="Sun")*($H$6:$AL$6&lt;&gt;"PH")*($H$6:$AL$6&lt;&gt;"SWD"),H36:AL36)+((SUMPRODUCT(($H$5:$AL$5="Mon")*($H$6:$AL$6="RH"),H36:AL36)+((SUMPRODUCT(($H$5:$AL$5="Tue")*($H$6:$AL$6="RH"),H36:AL36)+((SUMPRODUCT(($H$5:$AL$5="Wed")*($H$6:$AL$6="RH"),H36:AL36)+((SUMPRODUCT(($H$5:$AL$5="Thu")*($H$6:$AL$6="RH"),H36:AL36)+((SUMPRODUCT(($H$5:$AL$5="Fri")*($H$6:$AL$6="RH"),H36:AL36))))))))))))))))))))))))/2
+((SUMPRODUCT(($H$5:$AL$5="Mon")*($H$6:$AL$6="SRD"),H35:AL35)+((SUMPRODUCT(($H$5:$AL$5="Tue")*($H$6:$AL$6="SRD"),H35:AL35)+((SUMPRODUCT(($H$5:$AL$5="Wed")*($H$6:$AL$6="SRD"),H35:AL35)+((SUMPRODUCT(($H$5:$AL$5="Thu")*($H$6:$AL$6="SRD"),H35:AL35)+((SUMPRODUCT(($H$5:$AL$5="Fri")*($H$6:$AL$6="SRD"),H35:AL35)+((SUMPRODUCT(($H$5:$AL$5="Mon")*($H$6:$AL$6="SRD"),H36:AL36)+((SUMPRODUCT(($H$5:$AL$5="Tue")*($H$6:$AL$6="SRD"),H36:AL36)+((SUMPRODUCT(($H$5:$AL$5="Wed")*($H$6:$AL$6="SRD"),H36:AL36)+((SUMPRODUCT(($H$5:$AL$5="Thu")*($H$6:$AL$6="SRD"),H36:AL36)+((SUMPRODUCT(($H$5:$AL$5="Fri")*($H$6:$AL$6="SRD"),H36:AL36)))))))))))))))))))))/2</f>
        <v>#VALUE!</v>
      </c>
      <c r="AS35" s="158">
        <f t="shared" ref="AS35" si="62">(SUMIF($H$6:$AL$6,"PH",H35:AL35)+SUMIF($H$6:$AL$6,"PH",H36:AL36))/2</f>
        <v>0</v>
      </c>
      <c r="AT35" s="154">
        <f t="shared" ref="AT35" si="63">ROUND(D35/8*AM35*1.5,2)</f>
        <v>0</v>
      </c>
      <c r="AU35" s="156">
        <f t="shared" ref="AU35" si="64">ROUND(D35/8*AN35*2,2)</f>
        <v>0</v>
      </c>
      <c r="AV35" s="160">
        <f t="shared" ref="AV35" si="65">ROUND(D35/8*AO35*3,2)</f>
        <v>0</v>
      </c>
      <c r="AW35" s="162" t="e">
        <f t="shared" ref="AW35" si="66">(D35*(AQ35+2*AR35+3*AS35))+AT35+AU35+AV35+AP35</f>
        <v>#VALUE!</v>
      </c>
    </row>
    <row r="36" spans="1:49" ht="15" thickBot="1">
      <c r="A36" s="165"/>
      <c r="B36" s="167"/>
      <c r="C36" s="167"/>
      <c r="D36" s="167"/>
      <c r="E36" s="167"/>
      <c r="F36" s="169"/>
      <c r="G36" s="27" t="s">
        <v>91</v>
      </c>
      <c r="H36" s="4"/>
      <c r="I36" s="5"/>
      <c r="J36" s="5"/>
      <c r="K36" s="5"/>
      <c r="L36" s="5"/>
      <c r="M36" s="5"/>
      <c r="N36" s="5"/>
      <c r="O36" s="5"/>
      <c r="P36" s="5"/>
      <c r="Q36" s="5"/>
      <c r="R36" s="5"/>
      <c r="S36" s="5"/>
      <c r="T36" s="5"/>
      <c r="U36" s="5"/>
      <c r="V36" s="5"/>
      <c r="W36" s="5"/>
      <c r="X36" s="5"/>
      <c r="Y36" s="5"/>
      <c r="Z36" s="5"/>
      <c r="AA36" s="5"/>
      <c r="AB36" s="5"/>
      <c r="AC36" s="5"/>
      <c r="AD36" s="5"/>
      <c r="AE36" s="5"/>
      <c r="AF36" s="5"/>
      <c r="AG36" s="5"/>
      <c r="AH36" s="5"/>
      <c r="AI36" s="5"/>
      <c r="AJ36" s="5"/>
      <c r="AK36" s="5"/>
      <c r="AL36" s="6"/>
      <c r="AM36" s="171"/>
      <c r="AN36" s="173"/>
      <c r="AO36" s="175"/>
      <c r="AP36" s="153"/>
      <c r="AQ36" s="207"/>
      <c r="AR36" s="209"/>
      <c r="AS36" s="159"/>
      <c r="AT36" s="155"/>
      <c r="AU36" s="157"/>
      <c r="AV36" s="161"/>
      <c r="AW36" s="163"/>
    </row>
    <row r="37" spans="1:49">
      <c r="A37" s="164">
        <v>15</v>
      </c>
      <c r="B37" s="166"/>
      <c r="C37" s="166"/>
      <c r="D37" s="166"/>
      <c r="E37" s="166"/>
      <c r="F37" s="168"/>
      <c r="G37" s="23" t="s">
        <v>90</v>
      </c>
      <c r="H37" s="1"/>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3"/>
      <c r="AM37" s="170"/>
      <c r="AN37" s="172"/>
      <c r="AO37" s="174"/>
      <c r="AP37" s="152"/>
      <c r="AQ37" s="206" t="e" cm="1">
        <f t="array" ref="AQ37">((SUMPRODUCT(($H$5:$AL$5="Mon")*($H$6:$AL$6&lt;&gt;"PH")*($H$6:$AL$6&lt;&gt;"RH")*($H$6:$AL$6&lt;&gt;"SRD"),H37:AL37)+SUMPRODUCT(($H$5:$AL$5="Tue")*($H$6:$AL$6&lt;&gt;"PH")*($H$6:$AL$6&lt;&gt;"RH")*($H$6:$AL$6&lt;&gt;"SRD"),H37:AL37)+SUMPRODUCT(($H$5:$AL$5="Wed")*($H$6:$AL$6&lt;&gt;"PH")*($H$6:$AL$6&lt;&gt;"RH")*($H$6:$AL$6&lt;&gt;"SRD"),H37:AL37)+SUMPRODUCT(($H$5:$AL$5="Thu")*($H$6:$AL$6&lt;&gt;"PH")*($H$6:$AL$6&lt;&gt;"RH")*($H$6:$AL$6&lt;&gt;"SRD"),H37:AL37)+SUMPRODUCT(($H$5:$AL$5="Fri")*($H$6:$AL$6&lt;&gt;"PH")*($H$6:$AL$6&lt;&gt;"RH")*($H$6:$AL$6&lt;&gt;"SRD"),H37:AL37))+(SUMPRODUCT(($H$5:$AL$5="Mon")*($H$6:$AL$6&lt;&gt;"PH")*($H$6:$AL$6&lt;&gt;"RH")*($H$6:$AL$6&lt;&gt;"SRD"),H38:AL38)+SUMPRODUCT(($H$5:$AL$5="Tue")*($H$6:$AL$6&lt;&gt;"PH")*($H$6:$AL$6&lt;&gt;"RH")*($H$6:$AL$6&lt;&gt;"SRD"),H38:AL38)+SUMPRODUCT(($H$5:$AL$5="Wed")*($H$6:$AL$6&lt;&gt;"PH")*($H$6:$AL$6&lt;&gt;"RH")*($H$6:$AL$6&lt;&gt;"SRD"),H38:AL38)+SUMPRODUCT(($H$5:$AL$5="Thu")*($H$6:$AL$6&lt;&gt;"PH")*($H$6:$AL$6&lt;&gt;"RH")*($H$6:$AL$6&lt;&gt;"SRD"),H38:AL38)+SUMPRODUCT(($H$5:$AL$5="Fri")*($H$6:$AL$6&lt;&gt;"PH")*($H$6:$AL$6&lt;&gt;"RH")*($H$6:$AL$6&lt;&gt;"SRD"),H38:AL38)))/2
+((SUMPRODUCT(($H$5:$AL$5="Sat")*($H$6:$AL$6="SWD"),H37:AL37)+SUMPRODUCT(($H$5:$AL$5="Sun")*($H$6:$AL$6="SWD"),H37:AL37)+SUMPRODUCT(($H$5:$AL$5="Sat")*($H$6:$AL$6="SWD"),H38:AL38)+SUMPRODUCT(($H$5:$AL$5="Sun")*($H$6:$AL$6="SWD"),H38:AL38))/2)</f>
        <v>#VALUE!</v>
      </c>
      <c r="AR37" s="208" t="e" cm="1">
        <f t="array" ref="AR37">((SUMPRODUCT(($H$5:$AL$5="Sat")*($H$6:$AL$6&lt;&gt;"PH")*($H$6:$AL$6&lt;&gt;"SWD"),H37:AL37)+SUMPRODUCT(($H$5:$AL$5="Sun")*($H$6:$AL$6&lt;&gt;"PH")*($H$6:$AL$6&lt;&gt;"SWD"),H37:AL37)+((SUMPRODUCT(($H$5:$AL$5="Mon")*($H$6:$AL$6="RH"),H37:AL37)+((SUMPRODUCT(($H$5:$AL$5="Tue")*($H$6:$AL$6="RH"),H37:AL37)+((SUMPRODUCT(($H$5:$AL$5="Wed")*($H$6:$AL$6="RH"),H37:AL37)+((SUMPRODUCT(($H$5:$AL$5="Thu")*($H$6:$AL$6="RH"),H37:AL37)+((SUMPRODUCT(($H$5:$AL$5="Fri")*($H$6:$AL$6="RH"),H37:AL37)+(SUMPRODUCT(($H$5:$AL$5="Sat")*($H$6:$AL$6&lt;&gt;"PH")*($H$6:$AL$6&lt;&gt;"SWD"),H38:AL38)+SUMPRODUCT(($H$5:$AL$5="Sun")*($H$6:$AL$6&lt;&gt;"PH")*($H$6:$AL$6&lt;&gt;"SWD"),H38:AL38)+((SUMPRODUCT(($H$5:$AL$5="Mon")*($H$6:$AL$6="RH"),H38:AL38)+((SUMPRODUCT(($H$5:$AL$5="Tue")*($H$6:$AL$6="RH"),H38:AL38)+((SUMPRODUCT(($H$5:$AL$5="Wed")*($H$6:$AL$6="RH"),H38:AL38)+((SUMPRODUCT(($H$5:$AL$5="Thu")*($H$6:$AL$6="RH"),H38:AL38)+((SUMPRODUCT(($H$5:$AL$5="Fri")*($H$6:$AL$6="RH"),H38:AL38))))))))))))))))))))))))/2
+((SUMPRODUCT(($H$5:$AL$5="Mon")*($H$6:$AL$6="SRD"),H37:AL37)+((SUMPRODUCT(($H$5:$AL$5="Tue")*($H$6:$AL$6="SRD"),H37:AL37)+((SUMPRODUCT(($H$5:$AL$5="Wed")*($H$6:$AL$6="SRD"),H37:AL37)+((SUMPRODUCT(($H$5:$AL$5="Thu")*($H$6:$AL$6="SRD"),H37:AL37)+((SUMPRODUCT(($H$5:$AL$5="Fri")*($H$6:$AL$6="SRD"),H37:AL37)+((SUMPRODUCT(($H$5:$AL$5="Mon")*($H$6:$AL$6="SRD"),H38:AL38)+((SUMPRODUCT(($H$5:$AL$5="Tue")*($H$6:$AL$6="SRD"),H38:AL38)+((SUMPRODUCT(($H$5:$AL$5="Wed")*($H$6:$AL$6="SRD"),H38:AL38)+((SUMPRODUCT(($H$5:$AL$5="Thu")*($H$6:$AL$6="SRD"),H38:AL38)+((SUMPRODUCT(($H$5:$AL$5="Fri")*($H$6:$AL$6="SRD"),H38:AL38)))))))))))))))))))))/2</f>
        <v>#VALUE!</v>
      </c>
      <c r="AS37" s="158">
        <f t="shared" ref="AS37" si="67">(SUMIF($H$6:$AL$6,"PH",H37:AL37)+SUMIF($H$6:$AL$6,"PH",H38:AL38))/2</f>
        <v>0</v>
      </c>
      <c r="AT37" s="154">
        <f t="shared" ref="AT37" si="68">ROUND(D37/8*AM37*1.5,2)</f>
        <v>0</v>
      </c>
      <c r="AU37" s="156">
        <f t="shared" ref="AU37" si="69">ROUND(D37/8*AN37*2,2)</f>
        <v>0</v>
      </c>
      <c r="AV37" s="160">
        <f t="shared" ref="AV37" si="70">ROUND(D37/8*AO37*3,2)</f>
        <v>0</v>
      </c>
      <c r="AW37" s="162" t="e">
        <f t="shared" ref="AW37" si="71">(D37*(AQ37+2*AR37+3*AS37))+AT37+AU37+AV37+AP37</f>
        <v>#VALUE!</v>
      </c>
    </row>
    <row r="38" spans="1:49" ht="15" thickBot="1">
      <c r="A38" s="165"/>
      <c r="B38" s="167"/>
      <c r="C38" s="167"/>
      <c r="D38" s="167"/>
      <c r="E38" s="167"/>
      <c r="F38" s="169"/>
      <c r="G38" s="27" t="s">
        <v>91</v>
      </c>
      <c r="H38" s="4"/>
      <c r="I38" s="5"/>
      <c r="J38" s="5"/>
      <c r="K38" s="5"/>
      <c r="L38" s="5"/>
      <c r="M38" s="5"/>
      <c r="N38" s="5"/>
      <c r="O38" s="5"/>
      <c r="P38" s="5"/>
      <c r="Q38" s="5"/>
      <c r="R38" s="5"/>
      <c r="S38" s="5"/>
      <c r="T38" s="5"/>
      <c r="U38" s="5"/>
      <c r="V38" s="5"/>
      <c r="W38" s="5"/>
      <c r="X38" s="5"/>
      <c r="Y38" s="5"/>
      <c r="Z38" s="5"/>
      <c r="AA38" s="5"/>
      <c r="AB38" s="5"/>
      <c r="AC38" s="5"/>
      <c r="AD38" s="5"/>
      <c r="AE38" s="5"/>
      <c r="AF38" s="5"/>
      <c r="AG38" s="5"/>
      <c r="AH38" s="5"/>
      <c r="AI38" s="5"/>
      <c r="AJ38" s="5"/>
      <c r="AK38" s="5"/>
      <c r="AL38" s="6"/>
      <c r="AM38" s="171"/>
      <c r="AN38" s="173"/>
      <c r="AO38" s="175"/>
      <c r="AP38" s="153"/>
      <c r="AQ38" s="207"/>
      <c r="AR38" s="209"/>
      <c r="AS38" s="159"/>
      <c r="AT38" s="155"/>
      <c r="AU38" s="157"/>
      <c r="AV38" s="161"/>
      <c r="AW38" s="163"/>
    </row>
    <row r="39" spans="1:49">
      <c r="A39" s="164">
        <v>16</v>
      </c>
      <c r="B39" s="166"/>
      <c r="C39" s="166"/>
      <c r="D39" s="166"/>
      <c r="E39" s="166"/>
      <c r="F39" s="168"/>
      <c r="G39" s="23" t="s">
        <v>90</v>
      </c>
      <c r="H39" s="1"/>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3"/>
      <c r="AM39" s="170"/>
      <c r="AN39" s="172"/>
      <c r="AO39" s="174"/>
      <c r="AP39" s="152"/>
      <c r="AQ39" s="206" t="e" cm="1">
        <f t="array" ref="AQ39">((SUMPRODUCT(($H$5:$AL$5="Mon")*($H$6:$AL$6&lt;&gt;"PH")*($H$6:$AL$6&lt;&gt;"RH")*($H$6:$AL$6&lt;&gt;"SRD"),H39:AL39)+SUMPRODUCT(($H$5:$AL$5="Tue")*($H$6:$AL$6&lt;&gt;"PH")*($H$6:$AL$6&lt;&gt;"RH")*($H$6:$AL$6&lt;&gt;"SRD"),H39:AL39)+SUMPRODUCT(($H$5:$AL$5="Wed")*($H$6:$AL$6&lt;&gt;"PH")*($H$6:$AL$6&lt;&gt;"RH")*($H$6:$AL$6&lt;&gt;"SRD"),H39:AL39)+SUMPRODUCT(($H$5:$AL$5="Thu")*($H$6:$AL$6&lt;&gt;"PH")*($H$6:$AL$6&lt;&gt;"RH")*($H$6:$AL$6&lt;&gt;"SRD"),H39:AL39)+SUMPRODUCT(($H$5:$AL$5="Fri")*($H$6:$AL$6&lt;&gt;"PH")*($H$6:$AL$6&lt;&gt;"RH")*($H$6:$AL$6&lt;&gt;"SRD"),H39:AL39))+(SUMPRODUCT(($H$5:$AL$5="Mon")*($H$6:$AL$6&lt;&gt;"PH")*($H$6:$AL$6&lt;&gt;"RH")*($H$6:$AL$6&lt;&gt;"SRD"),H40:AL40)+SUMPRODUCT(($H$5:$AL$5="Tue")*($H$6:$AL$6&lt;&gt;"PH")*($H$6:$AL$6&lt;&gt;"RH")*($H$6:$AL$6&lt;&gt;"SRD"),H40:AL40)+SUMPRODUCT(($H$5:$AL$5="Wed")*($H$6:$AL$6&lt;&gt;"PH")*($H$6:$AL$6&lt;&gt;"RH")*($H$6:$AL$6&lt;&gt;"SRD"),H40:AL40)+SUMPRODUCT(($H$5:$AL$5="Thu")*($H$6:$AL$6&lt;&gt;"PH")*($H$6:$AL$6&lt;&gt;"RH")*($H$6:$AL$6&lt;&gt;"SRD"),H40:AL40)+SUMPRODUCT(($H$5:$AL$5="Fri")*($H$6:$AL$6&lt;&gt;"PH")*($H$6:$AL$6&lt;&gt;"RH")*($H$6:$AL$6&lt;&gt;"SRD"),H40:AL40)))/2
+((SUMPRODUCT(($H$5:$AL$5="Sat")*($H$6:$AL$6="SWD"),H39:AL39)+SUMPRODUCT(($H$5:$AL$5="Sun")*($H$6:$AL$6="SWD"),H39:AL39)+SUMPRODUCT(($H$5:$AL$5="Sat")*($H$6:$AL$6="SWD"),H40:AL40)+SUMPRODUCT(($H$5:$AL$5="Sun")*($H$6:$AL$6="SWD"),H40:AL40))/2)</f>
        <v>#VALUE!</v>
      </c>
      <c r="AR39" s="208" t="e" cm="1">
        <f t="array" ref="AR39">((SUMPRODUCT(($H$5:$AL$5="Sat")*($H$6:$AL$6&lt;&gt;"PH")*($H$6:$AL$6&lt;&gt;"SWD"),H39:AL39)+SUMPRODUCT(($H$5:$AL$5="Sun")*($H$6:$AL$6&lt;&gt;"PH")*($H$6:$AL$6&lt;&gt;"SWD"),H39:AL39)+((SUMPRODUCT(($H$5:$AL$5="Mon")*($H$6:$AL$6="RH"),H39:AL39)+((SUMPRODUCT(($H$5:$AL$5="Tue")*($H$6:$AL$6="RH"),H39:AL39)+((SUMPRODUCT(($H$5:$AL$5="Wed")*($H$6:$AL$6="RH"),H39:AL39)+((SUMPRODUCT(($H$5:$AL$5="Thu")*($H$6:$AL$6="RH"),H39:AL39)+((SUMPRODUCT(($H$5:$AL$5="Fri")*($H$6:$AL$6="RH"),H39:AL39)+(SUMPRODUCT(($H$5:$AL$5="Sat")*($H$6:$AL$6&lt;&gt;"PH")*($H$6:$AL$6&lt;&gt;"SWD"),H40:AL40)+SUMPRODUCT(($H$5:$AL$5="Sun")*($H$6:$AL$6&lt;&gt;"PH")*($H$6:$AL$6&lt;&gt;"SWD"),H40:AL40)+((SUMPRODUCT(($H$5:$AL$5="Mon")*($H$6:$AL$6="RH"),H40:AL40)+((SUMPRODUCT(($H$5:$AL$5="Tue")*($H$6:$AL$6="RH"),H40:AL40)+((SUMPRODUCT(($H$5:$AL$5="Wed")*($H$6:$AL$6="RH"),H40:AL40)+((SUMPRODUCT(($H$5:$AL$5="Thu")*($H$6:$AL$6="RH"),H40:AL40)+((SUMPRODUCT(($H$5:$AL$5="Fri")*($H$6:$AL$6="RH"),H40:AL40))))))))))))))))))))))))/2
+((SUMPRODUCT(($H$5:$AL$5="Mon")*($H$6:$AL$6="SRD"),H39:AL39)+((SUMPRODUCT(($H$5:$AL$5="Tue")*($H$6:$AL$6="SRD"),H39:AL39)+((SUMPRODUCT(($H$5:$AL$5="Wed")*($H$6:$AL$6="SRD"),H39:AL39)+((SUMPRODUCT(($H$5:$AL$5="Thu")*($H$6:$AL$6="SRD"),H39:AL39)+((SUMPRODUCT(($H$5:$AL$5="Fri")*($H$6:$AL$6="SRD"),H39:AL39)+((SUMPRODUCT(($H$5:$AL$5="Mon")*($H$6:$AL$6="SRD"),H40:AL40)+((SUMPRODUCT(($H$5:$AL$5="Tue")*($H$6:$AL$6="SRD"),H40:AL40)+((SUMPRODUCT(($H$5:$AL$5="Wed")*($H$6:$AL$6="SRD"),H40:AL40)+((SUMPRODUCT(($H$5:$AL$5="Thu")*($H$6:$AL$6="SRD"),H40:AL40)+((SUMPRODUCT(($H$5:$AL$5="Fri")*($H$6:$AL$6="SRD"),H40:AL40)))))))))))))))))))))/2</f>
        <v>#VALUE!</v>
      </c>
      <c r="AS39" s="158">
        <f t="shared" ref="AS39" si="72">(SUMIF($H$6:$AL$6,"PH",H39:AL39)+SUMIF($H$6:$AL$6,"PH",H40:AL40))/2</f>
        <v>0</v>
      </c>
      <c r="AT39" s="154">
        <f t="shared" ref="AT39" si="73">ROUND(D39/8*AM39*1.5,2)</f>
        <v>0</v>
      </c>
      <c r="AU39" s="156">
        <f t="shared" ref="AU39" si="74">ROUND(D39/8*AN39*2,2)</f>
        <v>0</v>
      </c>
      <c r="AV39" s="160">
        <f t="shared" ref="AV39" si="75">ROUND(D39/8*AO39*3,2)</f>
        <v>0</v>
      </c>
      <c r="AW39" s="162" t="e">
        <f t="shared" ref="AW39" si="76">(D39*(AQ39+2*AR39+3*AS39))+AT39+AU39+AV39+AP39</f>
        <v>#VALUE!</v>
      </c>
    </row>
    <row r="40" spans="1:49" ht="15" thickBot="1">
      <c r="A40" s="165"/>
      <c r="B40" s="167"/>
      <c r="C40" s="167"/>
      <c r="D40" s="167"/>
      <c r="E40" s="167"/>
      <c r="F40" s="169"/>
      <c r="G40" s="27" t="s">
        <v>91</v>
      </c>
      <c r="H40" s="4"/>
      <c r="I40" s="5"/>
      <c r="J40" s="5"/>
      <c r="K40" s="5"/>
      <c r="L40" s="5"/>
      <c r="M40" s="5"/>
      <c r="N40" s="5"/>
      <c r="O40" s="5"/>
      <c r="P40" s="5"/>
      <c r="Q40" s="5"/>
      <c r="R40" s="5"/>
      <c r="S40" s="5"/>
      <c r="T40" s="5"/>
      <c r="U40" s="5"/>
      <c r="V40" s="5"/>
      <c r="W40" s="5"/>
      <c r="X40" s="5"/>
      <c r="Y40" s="5"/>
      <c r="Z40" s="5"/>
      <c r="AA40" s="5"/>
      <c r="AB40" s="5"/>
      <c r="AC40" s="5"/>
      <c r="AD40" s="5"/>
      <c r="AE40" s="5"/>
      <c r="AF40" s="5"/>
      <c r="AG40" s="5"/>
      <c r="AH40" s="5"/>
      <c r="AI40" s="5"/>
      <c r="AJ40" s="5"/>
      <c r="AK40" s="5"/>
      <c r="AL40" s="6"/>
      <c r="AM40" s="171"/>
      <c r="AN40" s="173"/>
      <c r="AO40" s="175"/>
      <c r="AP40" s="153"/>
      <c r="AQ40" s="207"/>
      <c r="AR40" s="209"/>
      <c r="AS40" s="159"/>
      <c r="AT40" s="155"/>
      <c r="AU40" s="157"/>
      <c r="AV40" s="161"/>
      <c r="AW40" s="163"/>
    </row>
    <row r="41" spans="1:49">
      <c r="A41" s="164">
        <v>17</v>
      </c>
      <c r="B41" s="166"/>
      <c r="C41" s="166"/>
      <c r="D41" s="166"/>
      <c r="E41" s="166"/>
      <c r="F41" s="168"/>
      <c r="G41" s="23" t="s">
        <v>90</v>
      </c>
      <c r="H41" s="1"/>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3"/>
      <c r="AM41" s="170"/>
      <c r="AN41" s="172"/>
      <c r="AO41" s="174"/>
      <c r="AP41" s="152"/>
      <c r="AQ41" s="206" t="e" cm="1">
        <f t="array" ref="AQ41">((SUMPRODUCT(($H$5:$AL$5="Mon")*($H$6:$AL$6&lt;&gt;"PH")*($H$6:$AL$6&lt;&gt;"RH")*($H$6:$AL$6&lt;&gt;"SRD"),H41:AL41)+SUMPRODUCT(($H$5:$AL$5="Tue")*($H$6:$AL$6&lt;&gt;"PH")*($H$6:$AL$6&lt;&gt;"RH")*($H$6:$AL$6&lt;&gt;"SRD"),H41:AL41)+SUMPRODUCT(($H$5:$AL$5="Wed")*($H$6:$AL$6&lt;&gt;"PH")*($H$6:$AL$6&lt;&gt;"RH")*($H$6:$AL$6&lt;&gt;"SRD"),H41:AL41)+SUMPRODUCT(($H$5:$AL$5="Thu")*($H$6:$AL$6&lt;&gt;"PH")*($H$6:$AL$6&lt;&gt;"RH")*($H$6:$AL$6&lt;&gt;"SRD"),H41:AL41)+SUMPRODUCT(($H$5:$AL$5="Fri")*($H$6:$AL$6&lt;&gt;"PH")*($H$6:$AL$6&lt;&gt;"RH")*($H$6:$AL$6&lt;&gt;"SRD"),H41:AL41))+(SUMPRODUCT(($H$5:$AL$5="Mon")*($H$6:$AL$6&lt;&gt;"PH")*($H$6:$AL$6&lt;&gt;"RH")*($H$6:$AL$6&lt;&gt;"SRD"),H42:AL42)+SUMPRODUCT(($H$5:$AL$5="Tue")*($H$6:$AL$6&lt;&gt;"PH")*($H$6:$AL$6&lt;&gt;"RH")*($H$6:$AL$6&lt;&gt;"SRD"),H42:AL42)+SUMPRODUCT(($H$5:$AL$5="Wed")*($H$6:$AL$6&lt;&gt;"PH")*($H$6:$AL$6&lt;&gt;"RH")*($H$6:$AL$6&lt;&gt;"SRD"),H42:AL42)+SUMPRODUCT(($H$5:$AL$5="Thu")*($H$6:$AL$6&lt;&gt;"PH")*($H$6:$AL$6&lt;&gt;"RH")*($H$6:$AL$6&lt;&gt;"SRD"),H42:AL42)+SUMPRODUCT(($H$5:$AL$5="Fri")*($H$6:$AL$6&lt;&gt;"PH")*($H$6:$AL$6&lt;&gt;"RH")*($H$6:$AL$6&lt;&gt;"SRD"),H42:AL42)))/2
+((SUMPRODUCT(($H$5:$AL$5="Sat")*($H$6:$AL$6="SWD"),H41:AL41)+SUMPRODUCT(($H$5:$AL$5="Sun")*($H$6:$AL$6="SWD"),H41:AL41)+SUMPRODUCT(($H$5:$AL$5="Sat")*($H$6:$AL$6="SWD"),H42:AL42)+SUMPRODUCT(($H$5:$AL$5="Sun")*($H$6:$AL$6="SWD"),H42:AL42))/2)</f>
        <v>#VALUE!</v>
      </c>
      <c r="AR41" s="208" t="e" cm="1">
        <f t="array" ref="AR41">((SUMPRODUCT(($H$5:$AL$5="Sat")*($H$6:$AL$6&lt;&gt;"PH")*($H$6:$AL$6&lt;&gt;"SWD"),H41:AL41)+SUMPRODUCT(($H$5:$AL$5="Sun")*($H$6:$AL$6&lt;&gt;"PH")*($H$6:$AL$6&lt;&gt;"SWD"),H41:AL41)+((SUMPRODUCT(($H$5:$AL$5="Mon")*($H$6:$AL$6="RH"),H41:AL41)+((SUMPRODUCT(($H$5:$AL$5="Tue")*($H$6:$AL$6="RH"),H41:AL41)+((SUMPRODUCT(($H$5:$AL$5="Wed")*($H$6:$AL$6="RH"),H41:AL41)+((SUMPRODUCT(($H$5:$AL$5="Thu")*($H$6:$AL$6="RH"),H41:AL41)+((SUMPRODUCT(($H$5:$AL$5="Fri")*($H$6:$AL$6="RH"),H41:AL41)+(SUMPRODUCT(($H$5:$AL$5="Sat")*($H$6:$AL$6&lt;&gt;"PH")*($H$6:$AL$6&lt;&gt;"SWD"),H42:AL42)+SUMPRODUCT(($H$5:$AL$5="Sun")*($H$6:$AL$6&lt;&gt;"PH")*($H$6:$AL$6&lt;&gt;"SWD"),H42:AL42)+((SUMPRODUCT(($H$5:$AL$5="Mon")*($H$6:$AL$6="RH"),H42:AL42)+((SUMPRODUCT(($H$5:$AL$5="Tue")*($H$6:$AL$6="RH"),H42:AL42)+((SUMPRODUCT(($H$5:$AL$5="Wed")*($H$6:$AL$6="RH"),H42:AL42)+((SUMPRODUCT(($H$5:$AL$5="Thu")*($H$6:$AL$6="RH"),H42:AL42)+((SUMPRODUCT(($H$5:$AL$5="Fri")*($H$6:$AL$6="RH"),H42:AL42))))))))))))))))))))))))/2
+((SUMPRODUCT(($H$5:$AL$5="Mon")*($H$6:$AL$6="SRD"),H41:AL41)+((SUMPRODUCT(($H$5:$AL$5="Tue")*($H$6:$AL$6="SRD"),H41:AL41)+((SUMPRODUCT(($H$5:$AL$5="Wed")*($H$6:$AL$6="SRD"),H41:AL41)+((SUMPRODUCT(($H$5:$AL$5="Thu")*($H$6:$AL$6="SRD"),H41:AL41)+((SUMPRODUCT(($H$5:$AL$5="Fri")*($H$6:$AL$6="SRD"),H41:AL41)+((SUMPRODUCT(($H$5:$AL$5="Mon")*($H$6:$AL$6="SRD"),H42:AL42)+((SUMPRODUCT(($H$5:$AL$5="Tue")*($H$6:$AL$6="SRD"),H42:AL42)+((SUMPRODUCT(($H$5:$AL$5="Wed")*($H$6:$AL$6="SRD"),H42:AL42)+((SUMPRODUCT(($H$5:$AL$5="Thu")*($H$6:$AL$6="SRD"),H42:AL42)+((SUMPRODUCT(($H$5:$AL$5="Fri")*($H$6:$AL$6="SRD"),H42:AL42)))))))))))))))))))))/2</f>
        <v>#VALUE!</v>
      </c>
      <c r="AS41" s="158">
        <f t="shared" ref="AS41" si="77">(SUMIF($H$6:$AL$6,"PH",H41:AL41)+SUMIF($H$6:$AL$6,"PH",H42:AL42))/2</f>
        <v>0</v>
      </c>
      <c r="AT41" s="154">
        <f t="shared" ref="AT41" si="78">ROUND(D41/8*AM41*1.5,2)</f>
        <v>0</v>
      </c>
      <c r="AU41" s="156">
        <f t="shared" ref="AU41" si="79">ROUND(D41/8*AN41*2,2)</f>
        <v>0</v>
      </c>
      <c r="AV41" s="160">
        <f t="shared" ref="AV41" si="80">ROUND(D41/8*AO41*3,2)</f>
        <v>0</v>
      </c>
      <c r="AW41" s="162" t="e">
        <f t="shared" ref="AW41" si="81">(D41*(AQ41+2*AR41+3*AS41))+AT41+AU41+AV41+AP41</f>
        <v>#VALUE!</v>
      </c>
    </row>
    <row r="42" spans="1:49" ht="15" thickBot="1">
      <c r="A42" s="165"/>
      <c r="B42" s="167"/>
      <c r="C42" s="167"/>
      <c r="D42" s="167"/>
      <c r="E42" s="167"/>
      <c r="F42" s="169"/>
      <c r="G42" s="27" t="s">
        <v>91</v>
      </c>
      <c r="H42" s="4"/>
      <c r="I42" s="5"/>
      <c r="J42" s="5"/>
      <c r="K42" s="5"/>
      <c r="L42" s="5"/>
      <c r="M42" s="5"/>
      <c r="N42" s="5"/>
      <c r="O42" s="5"/>
      <c r="P42" s="5"/>
      <c r="Q42" s="5"/>
      <c r="R42" s="5"/>
      <c r="S42" s="5"/>
      <c r="T42" s="5"/>
      <c r="U42" s="5"/>
      <c r="V42" s="5"/>
      <c r="W42" s="5"/>
      <c r="X42" s="5"/>
      <c r="Y42" s="5"/>
      <c r="Z42" s="5"/>
      <c r="AA42" s="5"/>
      <c r="AB42" s="5"/>
      <c r="AC42" s="5"/>
      <c r="AD42" s="5"/>
      <c r="AE42" s="5"/>
      <c r="AF42" s="5"/>
      <c r="AG42" s="5"/>
      <c r="AH42" s="5"/>
      <c r="AI42" s="5"/>
      <c r="AJ42" s="5"/>
      <c r="AK42" s="5"/>
      <c r="AL42" s="6"/>
      <c r="AM42" s="171"/>
      <c r="AN42" s="173"/>
      <c r="AO42" s="175"/>
      <c r="AP42" s="153"/>
      <c r="AQ42" s="207"/>
      <c r="AR42" s="209"/>
      <c r="AS42" s="159"/>
      <c r="AT42" s="155"/>
      <c r="AU42" s="157"/>
      <c r="AV42" s="161"/>
      <c r="AW42" s="163"/>
    </row>
    <row r="43" spans="1:49">
      <c r="A43" s="164">
        <v>18</v>
      </c>
      <c r="B43" s="166"/>
      <c r="C43" s="166"/>
      <c r="D43" s="166"/>
      <c r="E43" s="166"/>
      <c r="F43" s="168"/>
      <c r="G43" s="23" t="s">
        <v>90</v>
      </c>
      <c r="H43" s="1"/>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3"/>
      <c r="AM43" s="170"/>
      <c r="AN43" s="172"/>
      <c r="AO43" s="174"/>
      <c r="AP43" s="152"/>
      <c r="AQ43" s="206" t="e" cm="1">
        <f t="array" ref="AQ43">((SUMPRODUCT(($H$5:$AL$5="Mon")*($H$6:$AL$6&lt;&gt;"PH")*($H$6:$AL$6&lt;&gt;"RH")*($H$6:$AL$6&lt;&gt;"SRD"),H43:AL43)+SUMPRODUCT(($H$5:$AL$5="Tue")*($H$6:$AL$6&lt;&gt;"PH")*($H$6:$AL$6&lt;&gt;"RH")*($H$6:$AL$6&lt;&gt;"SRD"),H43:AL43)+SUMPRODUCT(($H$5:$AL$5="Wed")*($H$6:$AL$6&lt;&gt;"PH")*($H$6:$AL$6&lt;&gt;"RH")*($H$6:$AL$6&lt;&gt;"SRD"),H43:AL43)+SUMPRODUCT(($H$5:$AL$5="Thu")*($H$6:$AL$6&lt;&gt;"PH")*($H$6:$AL$6&lt;&gt;"RH")*($H$6:$AL$6&lt;&gt;"SRD"),H43:AL43)+SUMPRODUCT(($H$5:$AL$5="Fri")*($H$6:$AL$6&lt;&gt;"PH")*($H$6:$AL$6&lt;&gt;"RH")*($H$6:$AL$6&lt;&gt;"SRD"),H43:AL43))+(SUMPRODUCT(($H$5:$AL$5="Mon")*($H$6:$AL$6&lt;&gt;"PH")*($H$6:$AL$6&lt;&gt;"RH")*($H$6:$AL$6&lt;&gt;"SRD"),H44:AL44)+SUMPRODUCT(($H$5:$AL$5="Tue")*($H$6:$AL$6&lt;&gt;"PH")*($H$6:$AL$6&lt;&gt;"RH")*($H$6:$AL$6&lt;&gt;"SRD"),H44:AL44)+SUMPRODUCT(($H$5:$AL$5="Wed")*($H$6:$AL$6&lt;&gt;"PH")*($H$6:$AL$6&lt;&gt;"RH")*($H$6:$AL$6&lt;&gt;"SRD"),H44:AL44)+SUMPRODUCT(($H$5:$AL$5="Thu")*($H$6:$AL$6&lt;&gt;"PH")*($H$6:$AL$6&lt;&gt;"RH")*($H$6:$AL$6&lt;&gt;"SRD"),H44:AL44)+SUMPRODUCT(($H$5:$AL$5="Fri")*($H$6:$AL$6&lt;&gt;"PH")*($H$6:$AL$6&lt;&gt;"RH")*($H$6:$AL$6&lt;&gt;"SRD"),H44:AL44)))/2
+((SUMPRODUCT(($H$5:$AL$5="Sat")*($H$6:$AL$6="SWD"),H43:AL43)+SUMPRODUCT(($H$5:$AL$5="Sun")*($H$6:$AL$6="SWD"),H43:AL43)+SUMPRODUCT(($H$5:$AL$5="Sat")*($H$6:$AL$6="SWD"),H44:AL44)+SUMPRODUCT(($H$5:$AL$5="Sun")*($H$6:$AL$6="SWD"),H44:AL44))/2)</f>
        <v>#VALUE!</v>
      </c>
      <c r="AR43" s="208" t="e" cm="1">
        <f t="array" ref="AR43">((SUMPRODUCT(($H$5:$AL$5="Sat")*($H$6:$AL$6&lt;&gt;"PH")*($H$6:$AL$6&lt;&gt;"SWD"),H43:AL43)+SUMPRODUCT(($H$5:$AL$5="Sun")*($H$6:$AL$6&lt;&gt;"PH")*($H$6:$AL$6&lt;&gt;"SWD"),H43:AL43)+((SUMPRODUCT(($H$5:$AL$5="Mon")*($H$6:$AL$6="RH"),H43:AL43)+((SUMPRODUCT(($H$5:$AL$5="Tue")*($H$6:$AL$6="RH"),H43:AL43)+((SUMPRODUCT(($H$5:$AL$5="Wed")*($H$6:$AL$6="RH"),H43:AL43)+((SUMPRODUCT(($H$5:$AL$5="Thu")*($H$6:$AL$6="RH"),H43:AL43)+((SUMPRODUCT(($H$5:$AL$5="Fri")*($H$6:$AL$6="RH"),H43:AL43)+(SUMPRODUCT(($H$5:$AL$5="Sat")*($H$6:$AL$6&lt;&gt;"PH")*($H$6:$AL$6&lt;&gt;"SWD"),H44:AL44)+SUMPRODUCT(($H$5:$AL$5="Sun")*($H$6:$AL$6&lt;&gt;"PH")*($H$6:$AL$6&lt;&gt;"SWD"),H44:AL44)+((SUMPRODUCT(($H$5:$AL$5="Mon")*($H$6:$AL$6="RH"),H44:AL44)+((SUMPRODUCT(($H$5:$AL$5="Tue")*($H$6:$AL$6="RH"),H44:AL44)+((SUMPRODUCT(($H$5:$AL$5="Wed")*($H$6:$AL$6="RH"),H44:AL44)+((SUMPRODUCT(($H$5:$AL$5="Thu")*($H$6:$AL$6="RH"),H44:AL44)+((SUMPRODUCT(($H$5:$AL$5="Fri")*($H$6:$AL$6="RH"),H44:AL44))))))))))))))))))))))))/2
+((SUMPRODUCT(($H$5:$AL$5="Mon")*($H$6:$AL$6="SRD"),H43:AL43)+((SUMPRODUCT(($H$5:$AL$5="Tue")*($H$6:$AL$6="SRD"),H43:AL43)+((SUMPRODUCT(($H$5:$AL$5="Wed")*($H$6:$AL$6="SRD"),H43:AL43)+((SUMPRODUCT(($H$5:$AL$5="Thu")*($H$6:$AL$6="SRD"),H43:AL43)+((SUMPRODUCT(($H$5:$AL$5="Fri")*($H$6:$AL$6="SRD"),H43:AL43)+((SUMPRODUCT(($H$5:$AL$5="Mon")*($H$6:$AL$6="SRD"),H44:AL44)+((SUMPRODUCT(($H$5:$AL$5="Tue")*($H$6:$AL$6="SRD"),H44:AL44)+((SUMPRODUCT(($H$5:$AL$5="Wed")*($H$6:$AL$6="SRD"),H44:AL44)+((SUMPRODUCT(($H$5:$AL$5="Thu")*($H$6:$AL$6="SRD"),H44:AL44)+((SUMPRODUCT(($H$5:$AL$5="Fri")*($H$6:$AL$6="SRD"),H44:AL44)))))))))))))))))))))/2</f>
        <v>#VALUE!</v>
      </c>
      <c r="AS43" s="158">
        <f t="shared" ref="AS43" si="82">(SUMIF($H$6:$AL$6,"PH",H43:AL43)+SUMIF($H$6:$AL$6,"PH",H44:AL44))/2</f>
        <v>0</v>
      </c>
      <c r="AT43" s="154">
        <f t="shared" ref="AT43" si="83">ROUND(D43/8*AM43*1.5,2)</f>
        <v>0</v>
      </c>
      <c r="AU43" s="156">
        <f t="shared" ref="AU43" si="84">ROUND(D43/8*AN43*2,2)</f>
        <v>0</v>
      </c>
      <c r="AV43" s="160">
        <f t="shared" ref="AV43" si="85">ROUND(D43/8*AO43*3,2)</f>
        <v>0</v>
      </c>
      <c r="AW43" s="162" t="e">
        <f t="shared" ref="AW43" si="86">(D43*(AQ43+2*AR43+3*AS43))+AT43+AU43+AV43+AP43</f>
        <v>#VALUE!</v>
      </c>
    </row>
    <row r="44" spans="1:49" ht="15" thickBot="1">
      <c r="A44" s="165"/>
      <c r="B44" s="167"/>
      <c r="C44" s="167"/>
      <c r="D44" s="167"/>
      <c r="E44" s="167"/>
      <c r="F44" s="169"/>
      <c r="G44" s="27" t="s">
        <v>91</v>
      </c>
      <c r="H44" s="4"/>
      <c r="I44" s="5"/>
      <c r="J44" s="5"/>
      <c r="K44" s="5"/>
      <c r="L44" s="5"/>
      <c r="M44" s="5"/>
      <c r="N44" s="5"/>
      <c r="O44" s="5"/>
      <c r="P44" s="5"/>
      <c r="Q44" s="5"/>
      <c r="R44" s="5"/>
      <c r="S44" s="5"/>
      <c r="T44" s="5"/>
      <c r="U44" s="5"/>
      <c r="V44" s="5"/>
      <c r="W44" s="5"/>
      <c r="X44" s="5"/>
      <c r="Y44" s="5"/>
      <c r="Z44" s="5"/>
      <c r="AA44" s="5"/>
      <c r="AB44" s="5"/>
      <c r="AC44" s="5"/>
      <c r="AD44" s="5"/>
      <c r="AE44" s="5"/>
      <c r="AF44" s="5"/>
      <c r="AG44" s="5"/>
      <c r="AH44" s="5"/>
      <c r="AI44" s="5"/>
      <c r="AJ44" s="5"/>
      <c r="AK44" s="5"/>
      <c r="AL44" s="6"/>
      <c r="AM44" s="171"/>
      <c r="AN44" s="173"/>
      <c r="AO44" s="175"/>
      <c r="AP44" s="153"/>
      <c r="AQ44" s="207"/>
      <c r="AR44" s="209"/>
      <c r="AS44" s="159"/>
      <c r="AT44" s="155"/>
      <c r="AU44" s="157"/>
      <c r="AV44" s="161"/>
      <c r="AW44" s="163"/>
    </row>
    <row r="45" spans="1:49">
      <c r="A45" s="164">
        <v>19</v>
      </c>
      <c r="B45" s="166"/>
      <c r="C45" s="166"/>
      <c r="D45" s="166"/>
      <c r="E45" s="166"/>
      <c r="F45" s="168"/>
      <c r="G45" s="23" t="s">
        <v>90</v>
      </c>
      <c r="H45" s="1"/>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3"/>
      <c r="AM45" s="170"/>
      <c r="AN45" s="172"/>
      <c r="AO45" s="174"/>
      <c r="AP45" s="152"/>
      <c r="AQ45" s="206" t="e" cm="1">
        <f t="array" ref="AQ45">((SUMPRODUCT(($H$5:$AL$5="Mon")*($H$6:$AL$6&lt;&gt;"PH")*($H$6:$AL$6&lt;&gt;"RH")*($H$6:$AL$6&lt;&gt;"SRD"),H45:AL45)+SUMPRODUCT(($H$5:$AL$5="Tue")*($H$6:$AL$6&lt;&gt;"PH")*($H$6:$AL$6&lt;&gt;"RH")*($H$6:$AL$6&lt;&gt;"SRD"),H45:AL45)+SUMPRODUCT(($H$5:$AL$5="Wed")*($H$6:$AL$6&lt;&gt;"PH")*($H$6:$AL$6&lt;&gt;"RH")*($H$6:$AL$6&lt;&gt;"SRD"),H45:AL45)+SUMPRODUCT(($H$5:$AL$5="Thu")*($H$6:$AL$6&lt;&gt;"PH")*($H$6:$AL$6&lt;&gt;"RH")*($H$6:$AL$6&lt;&gt;"SRD"),H45:AL45)+SUMPRODUCT(($H$5:$AL$5="Fri")*($H$6:$AL$6&lt;&gt;"PH")*($H$6:$AL$6&lt;&gt;"RH")*($H$6:$AL$6&lt;&gt;"SRD"),H45:AL45))+(SUMPRODUCT(($H$5:$AL$5="Mon")*($H$6:$AL$6&lt;&gt;"PH")*($H$6:$AL$6&lt;&gt;"RH")*($H$6:$AL$6&lt;&gt;"SRD"),H46:AL46)+SUMPRODUCT(($H$5:$AL$5="Tue")*($H$6:$AL$6&lt;&gt;"PH")*($H$6:$AL$6&lt;&gt;"RH")*($H$6:$AL$6&lt;&gt;"SRD"),H46:AL46)+SUMPRODUCT(($H$5:$AL$5="Wed")*($H$6:$AL$6&lt;&gt;"PH")*($H$6:$AL$6&lt;&gt;"RH")*($H$6:$AL$6&lt;&gt;"SRD"),H46:AL46)+SUMPRODUCT(($H$5:$AL$5="Thu")*($H$6:$AL$6&lt;&gt;"PH")*($H$6:$AL$6&lt;&gt;"RH")*($H$6:$AL$6&lt;&gt;"SRD"),H46:AL46)+SUMPRODUCT(($H$5:$AL$5="Fri")*($H$6:$AL$6&lt;&gt;"PH")*($H$6:$AL$6&lt;&gt;"RH")*($H$6:$AL$6&lt;&gt;"SRD"),H46:AL46)))/2
+((SUMPRODUCT(($H$5:$AL$5="Sat")*($H$6:$AL$6="SWD"),H45:AL45)+SUMPRODUCT(($H$5:$AL$5="Sun")*($H$6:$AL$6="SWD"),H45:AL45)+SUMPRODUCT(($H$5:$AL$5="Sat")*($H$6:$AL$6="SWD"),H46:AL46)+SUMPRODUCT(($H$5:$AL$5="Sun")*($H$6:$AL$6="SWD"),H46:AL46))/2)</f>
        <v>#VALUE!</v>
      </c>
      <c r="AR45" s="208" t="e" cm="1">
        <f t="array" ref="AR45">((SUMPRODUCT(($H$5:$AL$5="Sat")*($H$6:$AL$6&lt;&gt;"PH")*($H$6:$AL$6&lt;&gt;"SWD"),H45:AL45)+SUMPRODUCT(($H$5:$AL$5="Sun")*($H$6:$AL$6&lt;&gt;"PH")*($H$6:$AL$6&lt;&gt;"SWD"),H45:AL45)+((SUMPRODUCT(($H$5:$AL$5="Mon")*($H$6:$AL$6="RH"),H45:AL45)+((SUMPRODUCT(($H$5:$AL$5="Tue")*($H$6:$AL$6="RH"),H45:AL45)+((SUMPRODUCT(($H$5:$AL$5="Wed")*($H$6:$AL$6="RH"),H45:AL45)+((SUMPRODUCT(($H$5:$AL$5="Thu")*($H$6:$AL$6="RH"),H45:AL45)+((SUMPRODUCT(($H$5:$AL$5="Fri")*($H$6:$AL$6="RH"),H45:AL45)+(SUMPRODUCT(($H$5:$AL$5="Sat")*($H$6:$AL$6&lt;&gt;"PH")*($H$6:$AL$6&lt;&gt;"SWD"),H46:AL46)+SUMPRODUCT(($H$5:$AL$5="Sun")*($H$6:$AL$6&lt;&gt;"PH")*($H$6:$AL$6&lt;&gt;"SWD"),H46:AL46)+((SUMPRODUCT(($H$5:$AL$5="Mon")*($H$6:$AL$6="RH"),H46:AL46)+((SUMPRODUCT(($H$5:$AL$5="Tue")*($H$6:$AL$6="RH"),H46:AL46)+((SUMPRODUCT(($H$5:$AL$5="Wed")*($H$6:$AL$6="RH"),H46:AL46)+((SUMPRODUCT(($H$5:$AL$5="Thu")*($H$6:$AL$6="RH"),H46:AL46)+((SUMPRODUCT(($H$5:$AL$5="Fri")*($H$6:$AL$6="RH"),H46:AL46))))))))))))))))))))))))/2
+((SUMPRODUCT(($H$5:$AL$5="Mon")*($H$6:$AL$6="SRD"),H45:AL45)+((SUMPRODUCT(($H$5:$AL$5="Tue")*($H$6:$AL$6="SRD"),H45:AL45)+((SUMPRODUCT(($H$5:$AL$5="Wed")*($H$6:$AL$6="SRD"),H45:AL45)+((SUMPRODUCT(($H$5:$AL$5="Thu")*($H$6:$AL$6="SRD"),H45:AL45)+((SUMPRODUCT(($H$5:$AL$5="Fri")*($H$6:$AL$6="SRD"),H45:AL45)+((SUMPRODUCT(($H$5:$AL$5="Mon")*($H$6:$AL$6="SRD"),H46:AL46)+((SUMPRODUCT(($H$5:$AL$5="Tue")*($H$6:$AL$6="SRD"),H46:AL46)+((SUMPRODUCT(($H$5:$AL$5="Wed")*($H$6:$AL$6="SRD"),H46:AL46)+((SUMPRODUCT(($H$5:$AL$5="Thu")*($H$6:$AL$6="SRD"),H46:AL46)+((SUMPRODUCT(($H$5:$AL$5="Fri")*($H$6:$AL$6="SRD"),H46:AL46)))))))))))))))))))))/2</f>
        <v>#VALUE!</v>
      </c>
      <c r="AS45" s="158">
        <f t="shared" ref="AS45" si="87">(SUMIF($H$6:$AL$6,"PH",H45:AL45)+SUMIF($H$6:$AL$6,"PH",H46:AL46))/2</f>
        <v>0</v>
      </c>
      <c r="AT45" s="154">
        <f t="shared" ref="AT45" si="88">ROUND(D45/8*AM45*1.5,2)</f>
        <v>0</v>
      </c>
      <c r="AU45" s="156">
        <f t="shared" ref="AU45" si="89">ROUND(D45/8*AN45*2,2)</f>
        <v>0</v>
      </c>
      <c r="AV45" s="160">
        <f t="shared" ref="AV45" si="90">ROUND(D45/8*AO45*3,2)</f>
        <v>0</v>
      </c>
      <c r="AW45" s="162" t="e">
        <f t="shared" ref="AW45" si="91">(D45*(AQ45+2*AR45+3*AS45))+AT45+AU45+AV45+AP45</f>
        <v>#VALUE!</v>
      </c>
    </row>
    <row r="46" spans="1:49" ht="15" thickBot="1">
      <c r="A46" s="165"/>
      <c r="B46" s="167"/>
      <c r="C46" s="167"/>
      <c r="D46" s="167"/>
      <c r="E46" s="167"/>
      <c r="F46" s="169"/>
      <c r="G46" s="27" t="s">
        <v>91</v>
      </c>
      <c r="H46" s="4"/>
      <c r="I46" s="5"/>
      <c r="J46" s="5"/>
      <c r="K46" s="5"/>
      <c r="L46" s="5"/>
      <c r="M46" s="5"/>
      <c r="N46" s="5"/>
      <c r="O46" s="5"/>
      <c r="P46" s="5"/>
      <c r="Q46" s="5"/>
      <c r="R46" s="5"/>
      <c r="S46" s="5"/>
      <c r="T46" s="5"/>
      <c r="U46" s="5"/>
      <c r="V46" s="5"/>
      <c r="W46" s="5"/>
      <c r="X46" s="5"/>
      <c r="Y46" s="5"/>
      <c r="Z46" s="5"/>
      <c r="AA46" s="5"/>
      <c r="AB46" s="5"/>
      <c r="AC46" s="5"/>
      <c r="AD46" s="5"/>
      <c r="AE46" s="5"/>
      <c r="AF46" s="5"/>
      <c r="AG46" s="5"/>
      <c r="AH46" s="5"/>
      <c r="AI46" s="5"/>
      <c r="AJ46" s="5"/>
      <c r="AK46" s="5"/>
      <c r="AL46" s="6"/>
      <c r="AM46" s="171"/>
      <c r="AN46" s="173"/>
      <c r="AO46" s="175"/>
      <c r="AP46" s="153"/>
      <c r="AQ46" s="207"/>
      <c r="AR46" s="209"/>
      <c r="AS46" s="159"/>
      <c r="AT46" s="155"/>
      <c r="AU46" s="157"/>
      <c r="AV46" s="161"/>
      <c r="AW46" s="163"/>
    </row>
    <row r="47" spans="1:49">
      <c r="A47" s="164">
        <v>20</v>
      </c>
      <c r="B47" s="166"/>
      <c r="C47" s="166"/>
      <c r="D47" s="166"/>
      <c r="E47" s="166"/>
      <c r="F47" s="168"/>
      <c r="G47" s="23" t="s">
        <v>90</v>
      </c>
      <c r="H47" s="1"/>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3"/>
      <c r="AM47" s="170"/>
      <c r="AN47" s="172"/>
      <c r="AO47" s="174"/>
      <c r="AP47" s="152"/>
      <c r="AQ47" s="206" t="e" cm="1">
        <f t="array" ref="AQ47">((SUMPRODUCT(($H$5:$AL$5="Mon")*($H$6:$AL$6&lt;&gt;"PH")*($H$6:$AL$6&lt;&gt;"RH")*($H$6:$AL$6&lt;&gt;"SRD"),H47:AL47)+SUMPRODUCT(($H$5:$AL$5="Tue")*($H$6:$AL$6&lt;&gt;"PH")*($H$6:$AL$6&lt;&gt;"RH")*($H$6:$AL$6&lt;&gt;"SRD"),H47:AL47)+SUMPRODUCT(($H$5:$AL$5="Wed")*($H$6:$AL$6&lt;&gt;"PH")*($H$6:$AL$6&lt;&gt;"RH")*($H$6:$AL$6&lt;&gt;"SRD"),H47:AL47)+SUMPRODUCT(($H$5:$AL$5="Thu")*($H$6:$AL$6&lt;&gt;"PH")*($H$6:$AL$6&lt;&gt;"RH")*($H$6:$AL$6&lt;&gt;"SRD"),H47:AL47)+SUMPRODUCT(($H$5:$AL$5="Fri")*($H$6:$AL$6&lt;&gt;"PH")*($H$6:$AL$6&lt;&gt;"RH")*($H$6:$AL$6&lt;&gt;"SRD"),H47:AL47))+(SUMPRODUCT(($H$5:$AL$5="Mon")*($H$6:$AL$6&lt;&gt;"PH")*($H$6:$AL$6&lt;&gt;"RH")*($H$6:$AL$6&lt;&gt;"SRD"),H48:AL48)+SUMPRODUCT(($H$5:$AL$5="Tue")*($H$6:$AL$6&lt;&gt;"PH")*($H$6:$AL$6&lt;&gt;"RH")*($H$6:$AL$6&lt;&gt;"SRD"),H48:AL48)+SUMPRODUCT(($H$5:$AL$5="Wed")*($H$6:$AL$6&lt;&gt;"PH")*($H$6:$AL$6&lt;&gt;"RH")*($H$6:$AL$6&lt;&gt;"SRD"),H48:AL48)+SUMPRODUCT(($H$5:$AL$5="Thu")*($H$6:$AL$6&lt;&gt;"PH")*($H$6:$AL$6&lt;&gt;"RH")*($H$6:$AL$6&lt;&gt;"SRD"),H48:AL48)+SUMPRODUCT(($H$5:$AL$5="Fri")*($H$6:$AL$6&lt;&gt;"PH")*($H$6:$AL$6&lt;&gt;"RH")*($H$6:$AL$6&lt;&gt;"SRD"),H48:AL48)))/2
+((SUMPRODUCT(($H$5:$AL$5="Sat")*($H$6:$AL$6="SWD"),H47:AL47)+SUMPRODUCT(($H$5:$AL$5="Sun")*($H$6:$AL$6="SWD"),H47:AL47)+SUMPRODUCT(($H$5:$AL$5="Sat")*($H$6:$AL$6="SWD"),H48:AL48)+SUMPRODUCT(($H$5:$AL$5="Sun")*($H$6:$AL$6="SWD"),H48:AL48))/2)</f>
        <v>#VALUE!</v>
      </c>
      <c r="AR47" s="208" t="e" cm="1">
        <f t="array" ref="AR47">((SUMPRODUCT(($H$5:$AL$5="Sat")*($H$6:$AL$6&lt;&gt;"PH")*($H$6:$AL$6&lt;&gt;"SWD"),H47:AL47)+SUMPRODUCT(($H$5:$AL$5="Sun")*($H$6:$AL$6&lt;&gt;"PH")*($H$6:$AL$6&lt;&gt;"SWD"),H47:AL47)+((SUMPRODUCT(($H$5:$AL$5="Mon")*($H$6:$AL$6="RH"),H47:AL47)+((SUMPRODUCT(($H$5:$AL$5="Tue")*($H$6:$AL$6="RH"),H47:AL47)+((SUMPRODUCT(($H$5:$AL$5="Wed")*($H$6:$AL$6="RH"),H47:AL47)+((SUMPRODUCT(($H$5:$AL$5="Thu")*($H$6:$AL$6="RH"),H47:AL47)+((SUMPRODUCT(($H$5:$AL$5="Fri")*($H$6:$AL$6="RH"),H47:AL47)+(SUMPRODUCT(($H$5:$AL$5="Sat")*($H$6:$AL$6&lt;&gt;"PH")*($H$6:$AL$6&lt;&gt;"SWD"),H48:AL48)+SUMPRODUCT(($H$5:$AL$5="Sun")*($H$6:$AL$6&lt;&gt;"PH")*($H$6:$AL$6&lt;&gt;"SWD"),H48:AL48)+((SUMPRODUCT(($H$5:$AL$5="Mon")*($H$6:$AL$6="RH"),H48:AL48)+((SUMPRODUCT(($H$5:$AL$5="Tue")*($H$6:$AL$6="RH"),H48:AL48)+((SUMPRODUCT(($H$5:$AL$5="Wed")*($H$6:$AL$6="RH"),H48:AL48)+((SUMPRODUCT(($H$5:$AL$5="Thu")*($H$6:$AL$6="RH"),H48:AL48)+((SUMPRODUCT(($H$5:$AL$5="Fri")*($H$6:$AL$6="RH"),H48:AL48))))))))))))))))))))))))/2
+((SUMPRODUCT(($H$5:$AL$5="Mon")*($H$6:$AL$6="SRD"),H47:AL47)+((SUMPRODUCT(($H$5:$AL$5="Tue")*($H$6:$AL$6="SRD"),H47:AL47)+((SUMPRODUCT(($H$5:$AL$5="Wed")*($H$6:$AL$6="SRD"),H47:AL47)+((SUMPRODUCT(($H$5:$AL$5="Thu")*($H$6:$AL$6="SRD"),H47:AL47)+((SUMPRODUCT(($H$5:$AL$5="Fri")*($H$6:$AL$6="SRD"),H47:AL47)+((SUMPRODUCT(($H$5:$AL$5="Mon")*($H$6:$AL$6="SRD"),H48:AL48)+((SUMPRODUCT(($H$5:$AL$5="Tue")*($H$6:$AL$6="SRD"),H48:AL48)+((SUMPRODUCT(($H$5:$AL$5="Wed")*($H$6:$AL$6="SRD"),H48:AL48)+((SUMPRODUCT(($H$5:$AL$5="Thu")*($H$6:$AL$6="SRD"),H48:AL48)+((SUMPRODUCT(($H$5:$AL$5="Fri")*($H$6:$AL$6="SRD"),H48:AL48)))))))))))))))))))))/2</f>
        <v>#VALUE!</v>
      </c>
      <c r="AS47" s="158">
        <f t="shared" ref="AS47" si="92">(SUMIF($H$6:$AL$6,"PH",H47:AL47)+SUMIF($H$6:$AL$6,"PH",H48:AL48))/2</f>
        <v>0</v>
      </c>
      <c r="AT47" s="154">
        <f t="shared" ref="AT47" si="93">ROUND(D47/8*AM47*1.5,2)</f>
        <v>0</v>
      </c>
      <c r="AU47" s="156">
        <f t="shared" ref="AU47" si="94">ROUND(D47/8*AN47*2,2)</f>
        <v>0</v>
      </c>
      <c r="AV47" s="160">
        <f t="shared" ref="AV47" si="95">ROUND(D47/8*AO47*3,2)</f>
        <v>0</v>
      </c>
      <c r="AW47" s="162" t="e">
        <f t="shared" ref="AW47" si="96">(D47*(AQ47+2*AR47+3*AS47))+AT47+AU47+AV47+AP47</f>
        <v>#VALUE!</v>
      </c>
    </row>
    <row r="48" spans="1:49" ht="15" thickBot="1">
      <c r="A48" s="165"/>
      <c r="B48" s="167"/>
      <c r="C48" s="167"/>
      <c r="D48" s="167"/>
      <c r="E48" s="167"/>
      <c r="F48" s="169"/>
      <c r="G48" s="27" t="s">
        <v>91</v>
      </c>
      <c r="H48" s="4"/>
      <c r="I48" s="5"/>
      <c r="J48" s="5"/>
      <c r="K48" s="5"/>
      <c r="L48" s="5"/>
      <c r="M48" s="5"/>
      <c r="N48" s="5"/>
      <c r="O48" s="5"/>
      <c r="P48" s="5"/>
      <c r="Q48" s="5"/>
      <c r="R48" s="5"/>
      <c r="S48" s="5"/>
      <c r="T48" s="5"/>
      <c r="U48" s="5"/>
      <c r="V48" s="5"/>
      <c r="W48" s="5"/>
      <c r="X48" s="5"/>
      <c r="Y48" s="5"/>
      <c r="Z48" s="5"/>
      <c r="AA48" s="5"/>
      <c r="AB48" s="5"/>
      <c r="AC48" s="5"/>
      <c r="AD48" s="5"/>
      <c r="AE48" s="5"/>
      <c r="AF48" s="5"/>
      <c r="AG48" s="5"/>
      <c r="AH48" s="5"/>
      <c r="AI48" s="5"/>
      <c r="AJ48" s="5"/>
      <c r="AK48" s="5"/>
      <c r="AL48" s="6"/>
      <c r="AM48" s="171"/>
      <c r="AN48" s="173"/>
      <c r="AO48" s="175"/>
      <c r="AP48" s="153"/>
      <c r="AQ48" s="207"/>
      <c r="AR48" s="209"/>
      <c r="AS48" s="159"/>
      <c r="AT48" s="155"/>
      <c r="AU48" s="157"/>
      <c r="AV48" s="161"/>
      <c r="AW48" s="163"/>
    </row>
    <row r="49" spans="1:49">
      <c r="A49" s="164">
        <v>21</v>
      </c>
      <c r="B49" s="166"/>
      <c r="C49" s="166"/>
      <c r="D49" s="166"/>
      <c r="E49" s="166"/>
      <c r="F49" s="168"/>
      <c r="G49" s="23" t="s">
        <v>90</v>
      </c>
      <c r="H49" s="1"/>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c r="AK49" s="2"/>
      <c r="AL49" s="3"/>
      <c r="AM49" s="170"/>
      <c r="AN49" s="172"/>
      <c r="AO49" s="174"/>
      <c r="AP49" s="152"/>
      <c r="AQ49" s="206" t="e" cm="1">
        <f t="array" ref="AQ49">((SUMPRODUCT(($H$5:$AL$5="Mon")*($H$6:$AL$6&lt;&gt;"PH")*($H$6:$AL$6&lt;&gt;"RH")*($H$6:$AL$6&lt;&gt;"SRD"),H49:AL49)+SUMPRODUCT(($H$5:$AL$5="Tue")*($H$6:$AL$6&lt;&gt;"PH")*($H$6:$AL$6&lt;&gt;"RH")*($H$6:$AL$6&lt;&gt;"SRD"),H49:AL49)+SUMPRODUCT(($H$5:$AL$5="Wed")*($H$6:$AL$6&lt;&gt;"PH")*($H$6:$AL$6&lt;&gt;"RH")*($H$6:$AL$6&lt;&gt;"SRD"),H49:AL49)+SUMPRODUCT(($H$5:$AL$5="Thu")*($H$6:$AL$6&lt;&gt;"PH")*($H$6:$AL$6&lt;&gt;"RH")*($H$6:$AL$6&lt;&gt;"SRD"),H49:AL49)+SUMPRODUCT(($H$5:$AL$5="Fri")*($H$6:$AL$6&lt;&gt;"PH")*($H$6:$AL$6&lt;&gt;"RH")*($H$6:$AL$6&lt;&gt;"SRD"),H49:AL49))+(SUMPRODUCT(($H$5:$AL$5="Mon")*($H$6:$AL$6&lt;&gt;"PH")*($H$6:$AL$6&lt;&gt;"RH")*($H$6:$AL$6&lt;&gt;"SRD"),H50:AL50)+SUMPRODUCT(($H$5:$AL$5="Tue")*($H$6:$AL$6&lt;&gt;"PH")*($H$6:$AL$6&lt;&gt;"RH")*($H$6:$AL$6&lt;&gt;"SRD"),H50:AL50)+SUMPRODUCT(($H$5:$AL$5="Wed")*($H$6:$AL$6&lt;&gt;"PH")*($H$6:$AL$6&lt;&gt;"RH")*($H$6:$AL$6&lt;&gt;"SRD"),H50:AL50)+SUMPRODUCT(($H$5:$AL$5="Thu")*($H$6:$AL$6&lt;&gt;"PH")*($H$6:$AL$6&lt;&gt;"RH")*($H$6:$AL$6&lt;&gt;"SRD"),H50:AL50)+SUMPRODUCT(($H$5:$AL$5="Fri")*($H$6:$AL$6&lt;&gt;"PH")*($H$6:$AL$6&lt;&gt;"RH")*($H$6:$AL$6&lt;&gt;"SRD"),H50:AL50)))/2
+((SUMPRODUCT(($H$5:$AL$5="Sat")*($H$6:$AL$6="SWD"),H49:AL49)+SUMPRODUCT(($H$5:$AL$5="Sun")*($H$6:$AL$6="SWD"),H49:AL49)+SUMPRODUCT(($H$5:$AL$5="Sat")*($H$6:$AL$6="SWD"),H50:AL50)+SUMPRODUCT(($H$5:$AL$5="Sun")*($H$6:$AL$6="SWD"),H50:AL50))/2)</f>
        <v>#VALUE!</v>
      </c>
      <c r="AR49" s="208" t="e" cm="1">
        <f t="array" ref="AR49">((SUMPRODUCT(($H$5:$AL$5="Sat")*($H$6:$AL$6&lt;&gt;"PH")*($H$6:$AL$6&lt;&gt;"SWD"),H49:AL49)+SUMPRODUCT(($H$5:$AL$5="Sun")*($H$6:$AL$6&lt;&gt;"PH")*($H$6:$AL$6&lt;&gt;"SWD"),H49:AL49)+((SUMPRODUCT(($H$5:$AL$5="Mon")*($H$6:$AL$6="RH"),H49:AL49)+((SUMPRODUCT(($H$5:$AL$5="Tue")*($H$6:$AL$6="RH"),H49:AL49)+((SUMPRODUCT(($H$5:$AL$5="Wed")*($H$6:$AL$6="RH"),H49:AL49)+((SUMPRODUCT(($H$5:$AL$5="Thu")*($H$6:$AL$6="RH"),H49:AL49)+((SUMPRODUCT(($H$5:$AL$5="Fri")*($H$6:$AL$6="RH"),H49:AL49)+(SUMPRODUCT(($H$5:$AL$5="Sat")*($H$6:$AL$6&lt;&gt;"PH")*($H$6:$AL$6&lt;&gt;"SWD"),H50:AL50)+SUMPRODUCT(($H$5:$AL$5="Sun")*($H$6:$AL$6&lt;&gt;"PH")*($H$6:$AL$6&lt;&gt;"SWD"),H50:AL50)+((SUMPRODUCT(($H$5:$AL$5="Mon")*($H$6:$AL$6="RH"),H50:AL50)+((SUMPRODUCT(($H$5:$AL$5="Tue")*($H$6:$AL$6="RH"),H50:AL50)+((SUMPRODUCT(($H$5:$AL$5="Wed")*($H$6:$AL$6="RH"),H50:AL50)+((SUMPRODUCT(($H$5:$AL$5="Thu")*($H$6:$AL$6="RH"),H50:AL50)+((SUMPRODUCT(($H$5:$AL$5="Fri")*($H$6:$AL$6="RH"),H50:AL50))))))))))))))))))))))))/2
+((SUMPRODUCT(($H$5:$AL$5="Mon")*($H$6:$AL$6="SRD"),H49:AL49)+((SUMPRODUCT(($H$5:$AL$5="Tue")*($H$6:$AL$6="SRD"),H49:AL49)+((SUMPRODUCT(($H$5:$AL$5="Wed")*($H$6:$AL$6="SRD"),H49:AL49)+((SUMPRODUCT(($H$5:$AL$5="Thu")*($H$6:$AL$6="SRD"),H49:AL49)+((SUMPRODUCT(($H$5:$AL$5="Fri")*($H$6:$AL$6="SRD"),H49:AL49)+((SUMPRODUCT(($H$5:$AL$5="Mon")*($H$6:$AL$6="SRD"),H50:AL50)+((SUMPRODUCT(($H$5:$AL$5="Tue")*($H$6:$AL$6="SRD"),H50:AL50)+((SUMPRODUCT(($H$5:$AL$5="Wed")*($H$6:$AL$6="SRD"),H50:AL50)+((SUMPRODUCT(($H$5:$AL$5="Thu")*($H$6:$AL$6="SRD"),H50:AL50)+((SUMPRODUCT(($H$5:$AL$5="Fri")*($H$6:$AL$6="SRD"),H50:AL50)))))))))))))))))))))/2</f>
        <v>#VALUE!</v>
      </c>
      <c r="AS49" s="158">
        <f t="shared" ref="AS49" si="97">(SUMIF($H$6:$AL$6,"PH",H49:AL49)+SUMIF($H$6:$AL$6,"PH",H50:AL50))/2</f>
        <v>0</v>
      </c>
      <c r="AT49" s="154">
        <f t="shared" ref="AT49" si="98">ROUND(D49/8*AM49*1.5,2)</f>
        <v>0</v>
      </c>
      <c r="AU49" s="156">
        <f t="shared" ref="AU49" si="99">ROUND(D49/8*AN49*2,2)</f>
        <v>0</v>
      </c>
      <c r="AV49" s="160">
        <f t="shared" ref="AV49" si="100">ROUND(D49/8*AO49*3,2)</f>
        <v>0</v>
      </c>
      <c r="AW49" s="162" t="e">
        <f t="shared" ref="AW49" si="101">(D49*(AQ49+2*AR49+3*AS49))+AT49+AU49+AV49+AP49</f>
        <v>#VALUE!</v>
      </c>
    </row>
    <row r="50" spans="1:49" ht="15" thickBot="1">
      <c r="A50" s="165"/>
      <c r="B50" s="167"/>
      <c r="C50" s="167"/>
      <c r="D50" s="167"/>
      <c r="E50" s="167"/>
      <c r="F50" s="169"/>
      <c r="G50" s="27" t="s">
        <v>91</v>
      </c>
      <c r="H50" s="4"/>
      <c r="I50" s="5"/>
      <c r="J50" s="5"/>
      <c r="K50" s="5"/>
      <c r="L50" s="5"/>
      <c r="M50" s="5"/>
      <c r="N50" s="5"/>
      <c r="O50" s="5"/>
      <c r="P50" s="5"/>
      <c r="Q50" s="5"/>
      <c r="R50" s="5"/>
      <c r="S50" s="5"/>
      <c r="T50" s="5"/>
      <c r="U50" s="5"/>
      <c r="V50" s="5"/>
      <c r="W50" s="5"/>
      <c r="X50" s="5"/>
      <c r="Y50" s="5"/>
      <c r="Z50" s="5"/>
      <c r="AA50" s="5"/>
      <c r="AB50" s="5"/>
      <c r="AC50" s="5"/>
      <c r="AD50" s="5"/>
      <c r="AE50" s="5"/>
      <c r="AF50" s="5"/>
      <c r="AG50" s="5"/>
      <c r="AH50" s="5"/>
      <c r="AI50" s="5"/>
      <c r="AJ50" s="5"/>
      <c r="AK50" s="5"/>
      <c r="AL50" s="6"/>
      <c r="AM50" s="171"/>
      <c r="AN50" s="173"/>
      <c r="AO50" s="175"/>
      <c r="AP50" s="153"/>
      <c r="AQ50" s="207"/>
      <c r="AR50" s="209"/>
      <c r="AS50" s="159"/>
      <c r="AT50" s="155"/>
      <c r="AU50" s="157"/>
      <c r="AV50" s="161"/>
      <c r="AW50" s="163"/>
    </row>
    <row r="51" spans="1:49">
      <c r="A51" s="164">
        <v>22</v>
      </c>
      <c r="B51" s="166"/>
      <c r="C51" s="166"/>
      <c r="D51" s="166"/>
      <c r="E51" s="166"/>
      <c r="F51" s="168"/>
      <c r="G51" s="23" t="s">
        <v>90</v>
      </c>
      <c r="H51" s="1"/>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c r="AK51" s="2"/>
      <c r="AL51" s="3"/>
      <c r="AM51" s="170"/>
      <c r="AN51" s="172"/>
      <c r="AO51" s="174"/>
      <c r="AP51" s="152"/>
      <c r="AQ51" s="206" t="e" cm="1">
        <f t="array" ref="AQ51">((SUMPRODUCT(($H$5:$AL$5="Mon")*($H$6:$AL$6&lt;&gt;"PH")*($H$6:$AL$6&lt;&gt;"RH")*($H$6:$AL$6&lt;&gt;"SRD"),H51:AL51)+SUMPRODUCT(($H$5:$AL$5="Tue")*($H$6:$AL$6&lt;&gt;"PH")*($H$6:$AL$6&lt;&gt;"RH")*($H$6:$AL$6&lt;&gt;"SRD"),H51:AL51)+SUMPRODUCT(($H$5:$AL$5="Wed")*($H$6:$AL$6&lt;&gt;"PH")*($H$6:$AL$6&lt;&gt;"RH")*($H$6:$AL$6&lt;&gt;"SRD"),H51:AL51)+SUMPRODUCT(($H$5:$AL$5="Thu")*($H$6:$AL$6&lt;&gt;"PH")*($H$6:$AL$6&lt;&gt;"RH")*($H$6:$AL$6&lt;&gt;"SRD"),H51:AL51)+SUMPRODUCT(($H$5:$AL$5="Fri")*($H$6:$AL$6&lt;&gt;"PH")*($H$6:$AL$6&lt;&gt;"RH")*($H$6:$AL$6&lt;&gt;"SRD"),H51:AL51))+(SUMPRODUCT(($H$5:$AL$5="Mon")*($H$6:$AL$6&lt;&gt;"PH")*($H$6:$AL$6&lt;&gt;"RH")*($H$6:$AL$6&lt;&gt;"SRD"),H52:AL52)+SUMPRODUCT(($H$5:$AL$5="Tue")*($H$6:$AL$6&lt;&gt;"PH")*($H$6:$AL$6&lt;&gt;"RH")*($H$6:$AL$6&lt;&gt;"SRD"),H52:AL52)+SUMPRODUCT(($H$5:$AL$5="Wed")*($H$6:$AL$6&lt;&gt;"PH")*($H$6:$AL$6&lt;&gt;"RH")*($H$6:$AL$6&lt;&gt;"SRD"),H52:AL52)+SUMPRODUCT(($H$5:$AL$5="Thu")*($H$6:$AL$6&lt;&gt;"PH")*($H$6:$AL$6&lt;&gt;"RH")*($H$6:$AL$6&lt;&gt;"SRD"),H52:AL52)+SUMPRODUCT(($H$5:$AL$5="Fri")*($H$6:$AL$6&lt;&gt;"PH")*($H$6:$AL$6&lt;&gt;"RH")*($H$6:$AL$6&lt;&gt;"SRD"),H52:AL52)))/2
+((SUMPRODUCT(($H$5:$AL$5="Sat")*($H$6:$AL$6="SWD"),H51:AL51)+SUMPRODUCT(($H$5:$AL$5="Sun")*($H$6:$AL$6="SWD"),H51:AL51)+SUMPRODUCT(($H$5:$AL$5="Sat")*($H$6:$AL$6="SWD"),H52:AL52)+SUMPRODUCT(($H$5:$AL$5="Sun")*($H$6:$AL$6="SWD"),H52:AL52))/2)</f>
        <v>#VALUE!</v>
      </c>
      <c r="AR51" s="208" t="e" cm="1">
        <f t="array" ref="AR51">((SUMPRODUCT(($H$5:$AL$5="Sat")*($H$6:$AL$6&lt;&gt;"PH")*($H$6:$AL$6&lt;&gt;"SWD"),H51:AL51)+SUMPRODUCT(($H$5:$AL$5="Sun")*($H$6:$AL$6&lt;&gt;"PH")*($H$6:$AL$6&lt;&gt;"SWD"),H51:AL51)+((SUMPRODUCT(($H$5:$AL$5="Mon")*($H$6:$AL$6="RH"),H51:AL51)+((SUMPRODUCT(($H$5:$AL$5="Tue")*($H$6:$AL$6="RH"),H51:AL51)+((SUMPRODUCT(($H$5:$AL$5="Wed")*($H$6:$AL$6="RH"),H51:AL51)+((SUMPRODUCT(($H$5:$AL$5="Thu")*($H$6:$AL$6="RH"),H51:AL51)+((SUMPRODUCT(($H$5:$AL$5="Fri")*($H$6:$AL$6="RH"),H51:AL51)+(SUMPRODUCT(($H$5:$AL$5="Sat")*($H$6:$AL$6&lt;&gt;"PH")*($H$6:$AL$6&lt;&gt;"SWD"),H52:AL52)+SUMPRODUCT(($H$5:$AL$5="Sun")*($H$6:$AL$6&lt;&gt;"PH")*($H$6:$AL$6&lt;&gt;"SWD"),H52:AL52)+((SUMPRODUCT(($H$5:$AL$5="Mon")*($H$6:$AL$6="RH"),H52:AL52)+((SUMPRODUCT(($H$5:$AL$5="Tue")*($H$6:$AL$6="RH"),H52:AL52)+((SUMPRODUCT(($H$5:$AL$5="Wed")*($H$6:$AL$6="RH"),H52:AL52)+((SUMPRODUCT(($H$5:$AL$5="Thu")*($H$6:$AL$6="RH"),H52:AL52)+((SUMPRODUCT(($H$5:$AL$5="Fri")*($H$6:$AL$6="RH"),H52:AL52))))))))))))))))))))))))/2
+((SUMPRODUCT(($H$5:$AL$5="Mon")*($H$6:$AL$6="SRD"),H51:AL51)+((SUMPRODUCT(($H$5:$AL$5="Tue")*($H$6:$AL$6="SRD"),H51:AL51)+((SUMPRODUCT(($H$5:$AL$5="Wed")*($H$6:$AL$6="SRD"),H51:AL51)+((SUMPRODUCT(($H$5:$AL$5="Thu")*($H$6:$AL$6="SRD"),H51:AL51)+((SUMPRODUCT(($H$5:$AL$5="Fri")*($H$6:$AL$6="SRD"),H51:AL51)+((SUMPRODUCT(($H$5:$AL$5="Mon")*($H$6:$AL$6="SRD"),H52:AL52)+((SUMPRODUCT(($H$5:$AL$5="Tue")*($H$6:$AL$6="SRD"),H52:AL52)+((SUMPRODUCT(($H$5:$AL$5="Wed")*($H$6:$AL$6="SRD"),H52:AL52)+((SUMPRODUCT(($H$5:$AL$5="Thu")*($H$6:$AL$6="SRD"),H52:AL52)+((SUMPRODUCT(($H$5:$AL$5="Fri")*($H$6:$AL$6="SRD"),H52:AL52)))))))))))))))))))))/2</f>
        <v>#VALUE!</v>
      </c>
      <c r="AS51" s="158">
        <f t="shared" ref="AS51" si="102">(SUMIF($H$6:$AL$6,"PH",H51:AL51)+SUMIF($H$6:$AL$6,"PH",H52:AL52))/2</f>
        <v>0</v>
      </c>
      <c r="AT51" s="154">
        <f t="shared" ref="AT51" si="103">ROUND(D51/8*AM51*1.5,2)</f>
        <v>0</v>
      </c>
      <c r="AU51" s="156">
        <f t="shared" ref="AU51" si="104">ROUND(D51/8*AN51*2,2)</f>
        <v>0</v>
      </c>
      <c r="AV51" s="160">
        <f t="shared" ref="AV51" si="105">ROUND(D51/8*AO51*3,2)</f>
        <v>0</v>
      </c>
      <c r="AW51" s="162" t="e">
        <f t="shared" ref="AW51" si="106">(D51*(AQ51+2*AR51+3*AS51))+AT51+AU51+AV51+AP51</f>
        <v>#VALUE!</v>
      </c>
    </row>
    <row r="52" spans="1:49" ht="15" thickBot="1">
      <c r="A52" s="165"/>
      <c r="B52" s="167"/>
      <c r="C52" s="167"/>
      <c r="D52" s="167"/>
      <c r="E52" s="167"/>
      <c r="F52" s="169"/>
      <c r="G52" s="27" t="s">
        <v>91</v>
      </c>
      <c r="H52" s="4"/>
      <c r="I52" s="5"/>
      <c r="J52" s="5"/>
      <c r="K52" s="5"/>
      <c r="L52" s="5"/>
      <c r="M52" s="5"/>
      <c r="N52" s="5"/>
      <c r="O52" s="5"/>
      <c r="P52" s="5"/>
      <c r="Q52" s="5"/>
      <c r="R52" s="5"/>
      <c r="S52" s="5"/>
      <c r="T52" s="5"/>
      <c r="U52" s="5"/>
      <c r="V52" s="5"/>
      <c r="W52" s="5"/>
      <c r="X52" s="5"/>
      <c r="Y52" s="5"/>
      <c r="Z52" s="5"/>
      <c r="AA52" s="5"/>
      <c r="AB52" s="5"/>
      <c r="AC52" s="5"/>
      <c r="AD52" s="5"/>
      <c r="AE52" s="5"/>
      <c r="AF52" s="5"/>
      <c r="AG52" s="5"/>
      <c r="AH52" s="5"/>
      <c r="AI52" s="5"/>
      <c r="AJ52" s="5"/>
      <c r="AK52" s="5"/>
      <c r="AL52" s="6"/>
      <c r="AM52" s="171"/>
      <c r="AN52" s="173"/>
      <c r="AO52" s="175"/>
      <c r="AP52" s="153"/>
      <c r="AQ52" s="207"/>
      <c r="AR52" s="209"/>
      <c r="AS52" s="159"/>
      <c r="AT52" s="155"/>
      <c r="AU52" s="157"/>
      <c r="AV52" s="161"/>
      <c r="AW52" s="163"/>
    </row>
    <row r="53" spans="1:49">
      <c r="A53" s="164">
        <v>23</v>
      </c>
      <c r="B53" s="166"/>
      <c r="C53" s="166"/>
      <c r="D53" s="166"/>
      <c r="E53" s="166"/>
      <c r="F53" s="168"/>
      <c r="G53" s="23" t="s">
        <v>90</v>
      </c>
      <c r="H53" s="1"/>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c r="AK53" s="2"/>
      <c r="AL53" s="3"/>
      <c r="AM53" s="170"/>
      <c r="AN53" s="172"/>
      <c r="AO53" s="174"/>
      <c r="AP53" s="152"/>
      <c r="AQ53" s="206" t="e" cm="1">
        <f t="array" ref="AQ53">((SUMPRODUCT(($H$5:$AL$5="Mon")*($H$6:$AL$6&lt;&gt;"PH")*($H$6:$AL$6&lt;&gt;"RH")*($H$6:$AL$6&lt;&gt;"SRD"),H53:AL53)+SUMPRODUCT(($H$5:$AL$5="Tue")*($H$6:$AL$6&lt;&gt;"PH")*($H$6:$AL$6&lt;&gt;"RH")*($H$6:$AL$6&lt;&gt;"SRD"),H53:AL53)+SUMPRODUCT(($H$5:$AL$5="Wed")*($H$6:$AL$6&lt;&gt;"PH")*($H$6:$AL$6&lt;&gt;"RH")*($H$6:$AL$6&lt;&gt;"SRD"),H53:AL53)+SUMPRODUCT(($H$5:$AL$5="Thu")*($H$6:$AL$6&lt;&gt;"PH")*($H$6:$AL$6&lt;&gt;"RH")*($H$6:$AL$6&lt;&gt;"SRD"),H53:AL53)+SUMPRODUCT(($H$5:$AL$5="Fri")*($H$6:$AL$6&lt;&gt;"PH")*($H$6:$AL$6&lt;&gt;"RH")*($H$6:$AL$6&lt;&gt;"SRD"),H53:AL53))+(SUMPRODUCT(($H$5:$AL$5="Mon")*($H$6:$AL$6&lt;&gt;"PH")*($H$6:$AL$6&lt;&gt;"RH")*($H$6:$AL$6&lt;&gt;"SRD"),H54:AL54)+SUMPRODUCT(($H$5:$AL$5="Tue")*($H$6:$AL$6&lt;&gt;"PH")*($H$6:$AL$6&lt;&gt;"RH")*($H$6:$AL$6&lt;&gt;"SRD"),H54:AL54)+SUMPRODUCT(($H$5:$AL$5="Wed")*($H$6:$AL$6&lt;&gt;"PH")*($H$6:$AL$6&lt;&gt;"RH")*($H$6:$AL$6&lt;&gt;"SRD"),H54:AL54)+SUMPRODUCT(($H$5:$AL$5="Thu")*($H$6:$AL$6&lt;&gt;"PH")*($H$6:$AL$6&lt;&gt;"RH")*($H$6:$AL$6&lt;&gt;"SRD"),H54:AL54)+SUMPRODUCT(($H$5:$AL$5="Fri")*($H$6:$AL$6&lt;&gt;"PH")*($H$6:$AL$6&lt;&gt;"RH")*($H$6:$AL$6&lt;&gt;"SRD"),H54:AL54)))/2
+((SUMPRODUCT(($H$5:$AL$5="Sat")*($H$6:$AL$6="SWD"),H53:AL53)+SUMPRODUCT(($H$5:$AL$5="Sun")*($H$6:$AL$6="SWD"),H53:AL53)+SUMPRODUCT(($H$5:$AL$5="Sat")*($H$6:$AL$6="SWD"),H54:AL54)+SUMPRODUCT(($H$5:$AL$5="Sun")*($H$6:$AL$6="SWD"),H54:AL54))/2)</f>
        <v>#VALUE!</v>
      </c>
      <c r="AR53" s="208" t="e" cm="1">
        <f t="array" ref="AR53">((SUMPRODUCT(($H$5:$AL$5="Sat")*($H$6:$AL$6&lt;&gt;"PH")*($H$6:$AL$6&lt;&gt;"SWD"),H53:AL53)+SUMPRODUCT(($H$5:$AL$5="Sun")*($H$6:$AL$6&lt;&gt;"PH")*($H$6:$AL$6&lt;&gt;"SWD"),H53:AL53)+((SUMPRODUCT(($H$5:$AL$5="Mon")*($H$6:$AL$6="RH"),H53:AL53)+((SUMPRODUCT(($H$5:$AL$5="Tue")*($H$6:$AL$6="RH"),H53:AL53)+((SUMPRODUCT(($H$5:$AL$5="Wed")*($H$6:$AL$6="RH"),H53:AL53)+((SUMPRODUCT(($H$5:$AL$5="Thu")*($H$6:$AL$6="RH"),H53:AL53)+((SUMPRODUCT(($H$5:$AL$5="Fri")*($H$6:$AL$6="RH"),H53:AL53)+(SUMPRODUCT(($H$5:$AL$5="Sat")*($H$6:$AL$6&lt;&gt;"PH")*($H$6:$AL$6&lt;&gt;"SWD"),H54:AL54)+SUMPRODUCT(($H$5:$AL$5="Sun")*($H$6:$AL$6&lt;&gt;"PH")*($H$6:$AL$6&lt;&gt;"SWD"),H54:AL54)+((SUMPRODUCT(($H$5:$AL$5="Mon")*($H$6:$AL$6="RH"),H54:AL54)+((SUMPRODUCT(($H$5:$AL$5="Tue")*($H$6:$AL$6="RH"),H54:AL54)+((SUMPRODUCT(($H$5:$AL$5="Wed")*($H$6:$AL$6="RH"),H54:AL54)+((SUMPRODUCT(($H$5:$AL$5="Thu")*($H$6:$AL$6="RH"),H54:AL54)+((SUMPRODUCT(($H$5:$AL$5="Fri")*($H$6:$AL$6="RH"),H54:AL54))))))))))))))))))))))))/2
+((SUMPRODUCT(($H$5:$AL$5="Mon")*($H$6:$AL$6="SRD"),H53:AL53)+((SUMPRODUCT(($H$5:$AL$5="Tue")*($H$6:$AL$6="SRD"),H53:AL53)+((SUMPRODUCT(($H$5:$AL$5="Wed")*($H$6:$AL$6="SRD"),H53:AL53)+((SUMPRODUCT(($H$5:$AL$5="Thu")*($H$6:$AL$6="SRD"),H53:AL53)+((SUMPRODUCT(($H$5:$AL$5="Fri")*($H$6:$AL$6="SRD"),H53:AL53)+((SUMPRODUCT(($H$5:$AL$5="Mon")*($H$6:$AL$6="SRD"),H54:AL54)+((SUMPRODUCT(($H$5:$AL$5="Tue")*($H$6:$AL$6="SRD"),H54:AL54)+((SUMPRODUCT(($H$5:$AL$5="Wed")*($H$6:$AL$6="SRD"),H54:AL54)+((SUMPRODUCT(($H$5:$AL$5="Thu")*($H$6:$AL$6="SRD"),H54:AL54)+((SUMPRODUCT(($H$5:$AL$5="Fri")*($H$6:$AL$6="SRD"),H54:AL54)))))))))))))))))))))/2</f>
        <v>#VALUE!</v>
      </c>
      <c r="AS53" s="158">
        <f t="shared" ref="AS53" si="107">(SUMIF($H$6:$AL$6,"PH",H53:AL53)+SUMIF($H$6:$AL$6,"PH",H54:AL54))/2</f>
        <v>0</v>
      </c>
      <c r="AT53" s="154">
        <f t="shared" ref="AT53" si="108">ROUND(D53/8*AM53*1.5,2)</f>
        <v>0</v>
      </c>
      <c r="AU53" s="156">
        <f t="shared" ref="AU53" si="109">ROUND(D53/8*AN53*2,2)</f>
        <v>0</v>
      </c>
      <c r="AV53" s="160">
        <f t="shared" ref="AV53" si="110">ROUND(D53/8*AO53*3,2)</f>
        <v>0</v>
      </c>
      <c r="AW53" s="162" t="e">
        <f t="shared" ref="AW53" si="111">(D53*(AQ53+2*AR53+3*AS53))+AT53+AU53+AV53+AP53</f>
        <v>#VALUE!</v>
      </c>
    </row>
    <row r="54" spans="1:49" ht="15" thickBot="1">
      <c r="A54" s="165"/>
      <c r="B54" s="167"/>
      <c r="C54" s="167"/>
      <c r="D54" s="167"/>
      <c r="E54" s="167"/>
      <c r="F54" s="169"/>
      <c r="G54" s="27" t="s">
        <v>91</v>
      </c>
      <c r="H54" s="4"/>
      <c r="I54" s="5"/>
      <c r="J54" s="5"/>
      <c r="K54" s="5"/>
      <c r="L54" s="5"/>
      <c r="M54" s="5"/>
      <c r="N54" s="5"/>
      <c r="O54" s="5"/>
      <c r="P54" s="5"/>
      <c r="Q54" s="5"/>
      <c r="R54" s="5"/>
      <c r="S54" s="5"/>
      <c r="T54" s="5"/>
      <c r="U54" s="5"/>
      <c r="V54" s="5"/>
      <c r="W54" s="5"/>
      <c r="X54" s="5"/>
      <c r="Y54" s="5"/>
      <c r="Z54" s="5"/>
      <c r="AA54" s="5"/>
      <c r="AB54" s="5"/>
      <c r="AC54" s="5"/>
      <c r="AD54" s="5"/>
      <c r="AE54" s="5"/>
      <c r="AF54" s="5"/>
      <c r="AG54" s="5"/>
      <c r="AH54" s="5"/>
      <c r="AI54" s="5"/>
      <c r="AJ54" s="5"/>
      <c r="AK54" s="5"/>
      <c r="AL54" s="6"/>
      <c r="AM54" s="171"/>
      <c r="AN54" s="173"/>
      <c r="AO54" s="175"/>
      <c r="AP54" s="153"/>
      <c r="AQ54" s="207"/>
      <c r="AR54" s="209"/>
      <c r="AS54" s="159"/>
      <c r="AT54" s="155"/>
      <c r="AU54" s="157"/>
      <c r="AV54" s="161"/>
      <c r="AW54" s="163"/>
    </row>
    <row r="55" spans="1:49">
      <c r="A55" s="164">
        <v>24</v>
      </c>
      <c r="B55" s="166"/>
      <c r="C55" s="166"/>
      <c r="D55" s="166"/>
      <c r="E55" s="166"/>
      <c r="F55" s="168"/>
      <c r="G55" s="23" t="s">
        <v>90</v>
      </c>
      <c r="H55" s="1"/>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c r="AK55" s="2"/>
      <c r="AL55" s="3"/>
      <c r="AM55" s="170"/>
      <c r="AN55" s="172"/>
      <c r="AO55" s="174"/>
      <c r="AP55" s="152"/>
      <c r="AQ55" s="206" t="e" cm="1">
        <f t="array" ref="AQ55">((SUMPRODUCT(($H$5:$AL$5="Mon")*($H$6:$AL$6&lt;&gt;"PH")*($H$6:$AL$6&lt;&gt;"RH")*($H$6:$AL$6&lt;&gt;"SRD"),H55:AL55)+SUMPRODUCT(($H$5:$AL$5="Tue")*($H$6:$AL$6&lt;&gt;"PH")*($H$6:$AL$6&lt;&gt;"RH")*($H$6:$AL$6&lt;&gt;"SRD"),H55:AL55)+SUMPRODUCT(($H$5:$AL$5="Wed")*($H$6:$AL$6&lt;&gt;"PH")*($H$6:$AL$6&lt;&gt;"RH")*($H$6:$AL$6&lt;&gt;"SRD"),H55:AL55)+SUMPRODUCT(($H$5:$AL$5="Thu")*($H$6:$AL$6&lt;&gt;"PH")*($H$6:$AL$6&lt;&gt;"RH")*($H$6:$AL$6&lt;&gt;"SRD"),H55:AL55)+SUMPRODUCT(($H$5:$AL$5="Fri")*($H$6:$AL$6&lt;&gt;"PH")*($H$6:$AL$6&lt;&gt;"RH")*($H$6:$AL$6&lt;&gt;"SRD"),H55:AL55))+(SUMPRODUCT(($H$5:$AL$5="Mon")*($H$6:$AL$6&lt;&gt;"PH")*($H$6:$AL$6&lt;&gt;"RH")*($H$6:$AL$6&lt;&gt;"SRD"),H56:AL56)+SUMPRODUCT(($H$5:$AL$5="Tue")*($H$6:$AL$6&lt;&gt;"PH")*($H$6:$AL$6&lt;&gt;"RH")*($H$6:$AL$6&lt;&gt;"SRD"),H56:AL56)+SUMPRODUCT(($H$5:$AL$5="Wed")*($H$6:$AL$6&lt;&gt;"PH")*($H$6:$AL$6&lt;&gt;"RH")*($H$6:$AL$6&lt;&gt;"SRD"),H56:AL56)+SUMPRODUCT(($H$5:$AL$5="Thu")*($H$6:$AL$6&lt;&gt;"PH")*($H$6:$AL$6&lt;&gt;"RH")*($H$6:$AL$6&lt;&gt;"SRD"),H56:AL56)+SUMPRODUCT(($H$5:$AL$5="Fri")*($H$6:$AL$6&lt;&gt;"PH")*($H$6:$AL$6&lt;&gt;"RH")*($H$6:$AL$6&lt;&gt;"SRD"),H56:AL56)))/2
+((SUMPRODUCT(($H$5:$AL$5="Sat")*($H$6:$AL$6="SWD"),H55:AL55)+SUMPRODUCT(($H$5:$AL$5="Sun")*($H$6:$AL$6="SWD"),H55:AL55)+SUMPRODUCT(($H$5:$AL$5="Sat")*($H$6:$AL$6="SWD"),H56:AL56)+SUMPRODUCT(($H$5:$AL$5="Sun")*($H$6:$AL$6="SWD"),H56:AL56))/2)</f>
        <v>#VALUE!</v>
      </c>
      <c r="AR55" s="208" t="e" cm="1">
        <f t="array" ref="AR55">((SUMPRODUCT(($H$5:$AL$5="Sat")*($H$6:$AL$6&lt;&gt;"PH")*($H$6:$AL$6&lt;&gt;"SWD"),H55:AL55)+SUMPRODUCT(($H$5:$AL$5="Sun")*($H$6:$AL$6&lt;&gt;"PH")*($H$6:$AL$6&lt;&gt;"SWD"),H55:AL55)+((SUMPRODUCT(($H$5:$AL$5="Mon")*($H$6:$AL$6="RH"),H55:AL55)+((SUMPRODUCT(($H$5:$AL$5="Tue")*($H$6:$AL$6="RH"),H55:AL55)+((SUMPRODUCT(($H$5:$AL$5="Wed")*($H$6:$AL$6="RH"),H55:AL55)+((SUMPRODUCT(($H$5:$AL$5="Thu")*($H$6:$AL$6="RH"),H55:AL55)+((SUMPRODUCT(($H$5:$AL$5="Fri")*($H$6:$AL$6="RH"),H55:AL55)+(SUMPRODUCT(($H$5:$AL$5="Sat")*($H$6:$AL$6&lt;&gt;"PH")*($H$6:$AL$6&lt;&gt;"SWD"),H56:AL56)+SUMPRODUCT(($H$5:$AL$5="Sun")*($H$6:$AL$6&lt;&gt;"PH")*($H$6:$AL$6&lt;&gt;"SWD"),H56:AL56)+((SUMPRODUCT(($H$5:$AL$5="Mon")*($H$6:$AL$6="RH"),H56:AL56)+((SUMPRODUCT(($H$5:$AL$5="Tue")*($H$6:$AL$6="RH"),H56:AL56)+((SUMPRODUCT(($H$5:$AL$5="Wed")*($H$6:$AL$6="RH"),H56:AL56)+((SUMPRODUCT(($H$5:$AL$5="Thu")*($H$6:$AL$6="RH"),H56:AL56)+((SUMPRODUCT(($H$5:$AL$5="Fri")*($H$6:$AL$6="RH"),H56:AL56))))))))))))))))))))))))/2
+((SUMPRODUCT(($H$5:$AL$5="Mon")*($H$6:$AL$6="SRD"),H55:AL55)+((SUMPRODUCT(($H$5:$AL$5="Tue")*($H$6:$AL$6="SRD"),H55:AL55)+((SUMPRODUCT(($H$5:$AL$5="Wed")*($H$6:$AL$6="SRD"),H55:AL55)+((SUMPRODUCT(($H$5:$AL$5="Thu")*($H$6:$AL$6="SRD"),H55:AL55)+((SUMPRODUCT(($H$5:$AL$5="Fri")*($H$6:$AL$6="SRD"),H55:AL55)+((SUMPRODUCT(($H$5:$AL$5="Mon")*($H$6:$AL$6="SRD"),H56:AL56)+((SUMPRODUCT(($H$5:$AL$5="Tue")*($H$6:$AL$6="SRD"),H56:AL56)+((SUMPRODUCT(($H$5:$AL$5="Wed")*($H$6:$AL$6="SRD"),H56:AL56)+((SUMPRODUCT(($H$5:$AL$5="Thu")*($H$6:$AL$6="SRD"),H56:AL56)+((SUMPRODUCT(($H$5:$AL$5="Fri")*($H$6:$AL$6="SRD"),H56:AL56)))))))))))))))))))))/2</f>
        <v>#VALUE!</v>
      </c>
      <c r="AS55" s="158">
        <f t="shared" ref="AS55" si="112">(SUMIF($H$6:$AL$6,"PH",H55:AL55)+SUMIF($H$6:$AL$6,"PH",H56:AL56))/2</f>
        <v>0</v>
      </c>
      <c r="AT55" s="154">
        <f t="shared" ref="AT55" si="113">ROUND(D55/8*AM55*1.5,2)</f>
        <v>0</v>
      </c>
      <c r="AU55" s="156">
        <f t="shared" ref="AU55" si="114">ROUND(D55/8*AN55*2,2)</f>
        <v>0</v>
      </c>
      <c r="AV55" s="160">
        <f t="shared" ref="AV55" si="115">ROUND(D55/8*AO55*3,2)</f>
        <v>0</v>
      </c>
      <c r="AW55" s="162" t="e">
        <f t="shared" ref="AW55" si="116">(D55*(AQ55+2*AR55+3*AS55))+AT55+AU55+AV55+AP55</f>
        <v>#VALUE!</v>
      </c>
    </row>
    <row r="56" spans="1:49" ht="15" thickBot="1">
      <c r="A56" s="165"/>
      <c r="B56" s="167"/>
      <c r="C56" s="167"/>
      <c r="D56" s="167"/>
      <c r="E56" s="167"/>
      <c r="F56" s="169"/>
      <c r="G56" s="27" t="s">
        <v>91</v>
      </c>
      <c r="H56" s="4"/>
      <c r="I56" s="5"/>
      <c r="J56" s="5"/>
      <c r="K56" s="5"/>
      <c r="L56" s="5"/>
      <c r="M56" s="5"/>
      <c r="N56" s="5"/>
      <c r="O56" s="5"/>
      <c r="P56" s="5"/>
      <c r="Q56" s="5"/>
      <c r="R56" s="5"/>
      <c r="S56" s="5"/>
      <c r="T56" s="5"/>
      <c r="U56" s="5"/>
      <c r="V56" s="5"/>
      <c r="W56" s="5"/>
      <c r="X56" s="5"/>
      <c r="Y56" s="5"/>
      <c r="Z56" s="5"/>
      <c r="AA56" s="5"/>
      <c r="AB56" s="5"/>
      <c r="AC56" s="5"/>
      <c r="AD56" s="5"/>
      <c r="AE56" s="5"/>
      <c r="AF56" s="5"/>
      <c r="AG56" s="5"/>
      <c r="AH56" s="5"/>
      <c r="AI56" s="5"/>
      <c r="AJ56" s="5"/>
      <c r="AK56" s="5"/>
      <c r="AL56" s="6"/>
      <c r="AM56" s="171"/>
      <c r="AN56" s="173"/>
      <c r="AO56" s="175"/>
      <c r="AP56" s="153"/>
      <c r="AQ56" s="207"/>
      <c r="AR56" s="209"/>
      <c r="AS56" s="159"/>
      <c r="AT56" s="155"/>
      <c r="AU56" s="157"/>
      <c r="AV56" s="161"/>
      <c r="AW56" s="163"/>
    </row>
    <row r="57" spans="1:49">
      <c r="A57" s="164">
        <v>25</v>
      </c>
      <c r="B57" s="166"/>
      <c r="C57" s="166"/>
      <c r="D57" s="166"/>
      <c r="E57" s="166"/>
      <c r="F57" s="168"/>
      <c r="G57" s="23" t="s">
        <v>90</v>
      </c>
      <c r="H57" s="1"/>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c r="AK57" s="2"/>
      <c r="AL57" s="3"/>
      <c r="AM57" s="170"/>
      <c r="AN57" s="172"/>
      <c r="AO57" s="174"/>
      <c r="AP57" s="152"/>
      <c r="AQ57" s="206" t="e" cm="1">
        <f t="array" ref="AQ57">((SUMPRODUCT(($H$5:$AL$5="Mon")*($H$6:$AL$6&lt;&gt;"PH")*($H$6:$AL$6&lt;&gt;"RH")*($H$6:$AL$6&lt;&gt;"SRD"),H57:AL57)+SUMPRODUCT(($H$5:$AL$5="Tue")*($H$6:$AL$6&lt;&gt;"PH")*($H$6:$AL$6&lt;&gt;"RH")*($H$6:$AL$6&lt;&gt;"SRD"),H57:AL57)+SUMPRODUCT(($H$5:$AL$5="Wed")*($H$6:$AL$6&lt;&gt;"PH")*($H$6:$AL$6&lt;&gt;"RH")*($H$6:$AL$6&lt;&gt;"SRD"),H57:AL57)+SUMPRODUCT(($H$5:$AL$5="Thu")*($H$6:$AL$6&lt;&gt;"PH")*($H$6:$AL$6&lt;&gt;"RH")*($H$6:$AL$6&lt;&gt;"SRD"),H57:AL57)+SUMPRODUCT(($H$5:$AL$5="Fri")*($H$6:$AL$6&lt;&gt;"PH")*($H$6:$AL$6&lt;&gt;"RH")*($H$6:$AL$6&lt;&gt;"SRD"),H57:AL57))+(SUMPRODUCT(($H$5:$AL$5="Mon")*($H$6:$AL$6&lt;&gt;"PH")*($H$6:$AL$6&lt;&gt;"RH")*($H$6:$AL$6&lt;&gt;"SRD"),H58:AL58)+SUMPRODUCT(($H$5:$AL$5="Tue")*($H$6:$AL$6&lt;&gt;"PH")*($H$6:$AL$6&lt;&gt;"RH")*($H$6:$AL$6&lt;&gt;"SRD"),H58:AL58)+SUMPRODUCT(($H$5:$AL$5="Wed")*($H$6:$AL$6&lt;&gt;"PH")*($H$6:$AL$6&lt;&gt;"RH")*($H$6:$AL$6&lt;&gt;"SRD"),H58:AL58)+SUMPRODUCT(($H$5:$AL$5="Thu")*($H$6:$AL$6&lt;&gt;"PH")*($H$6:$AL$6&lt;&gt;"RH")*($H$6:$AL$6&lt;&gt;"SRD"),H58:AL58)+SUMPRODUCT(($H$5:$AL$5="Fri")*($H$6:$AL$6&lt;&gt;"PH")*($H$6:$AL$6&lt;&gt;"RH")*($H$6:$AL$6&lt;&gt;"SRD"),H58:AL58)))/2
+((SUMPRODUCT(($H$5:$AL$5="Sat")*($H$6:$AL$6="SWD"),H57:AL57)+SUMPRODUCT(($H$5:$AL$5="Sun")*($H$6:$AL$6="SWD"),H57:AL57)+SUMPRODUCT(($H$5:$AL$5="Sat")*($H$6:$AL$6="SWD"),H58:AL58)+SUMPRODUCT(($H$5:$AL$5="Sun")*($H$6:$AL$6="SWD"),H58:AL58))/2)</f>
        <v>#VALUE!</v>
      </c>
      <c r="AR57" s="208" t="e" cm="1">
        <f t="array" ref="AR57">((SUMPRODUCT(($H$5:$AL$5="Sat")*($H$6:$AL$6&lt;&gt;"PH")*($H$6:$AL$6&lt;&gt;"SWD"),H57:AL57)+SUMPRODUCT(($H$5:$AL$5="Sun")*($H$6:$AL$6&lt;&gt;"PH")*($H$6:$AL$6&lt;&gt;"SWD"),H57:AL57)+((SUMPRODUCT(($H$5:$AL$5="Mon")*($H$6:$AL$6="RH"),H57:AL57)+((SUMPRODUCT(($H$5:$AL$5="Tue")*($H$6:$AL$6="RH"),H57:AL57)+((SUMPRODUCT(($H$5:$AL$5="Wed")*($H$6:$AL$6="RH"),H57:AL57)+((SUMPRODUCT(($H$5:$AL$5="Thu")*($H$6:$AL$6="RH"),H57:AL57)+((SUMPRODUCT(($H$5:$AL$5="Fri")*($H$6:$AL$6="RH"),H57:AL57)+(SUMPRODUCT(($H$5:$AL$5="Sat")*($H$6:$AL$6&lt;&gt;"PH")*($H$6:$AL$6&lt;&gt;"SWD"),H58:AL58)+SUMPRODUCT(($H$5:$AL$5="Sun")*($H$6:$AL$6&lt;&gt;"PH")*($H$6:$AL$6&lt;&gt;"SWD"),H58:AL58)+((SUMPRODUCT(($H$5:$AL$5="Mon")*($H$6:$AL$6="RH"),H58:AL58)+((SUMPRODUCT(($H$5:$AL$5="Tue")*($H$6:$AL$6="RH"),H58:AL58)+((SUMPRODUCT(($H$5:$AL$5="Wed")*($H$6:$AL$6="RH"),H58:AL58)+((SUMPRODUCT(($H$5:$AL$5="Thu")*($H$6:$AL$6="RH"),H58:AL58)+((SUMPRODUCT(($H$5:$AL$5="Fri")*($H$6:$AL$6="RH"),H58:AL58))))))))))))))))))))))))/2
+((SUMPRODUCT(($H$5:$AL$5="Mon")*($H$6:$AL$6="SRD"),H57:AL57)+((SUMPRODUCT(($H$5:$AL$5="Tue")*($H$6:$AL$6="SRD"),H57:AL57)+((SUMPRODUCT(($H$5:$AL$5="Wed")*($H$6:$AL$6="SRD"),H57:AL57)+((SUMPRODUCT(($H$5:$AL$5="Thu")*($H$6:$AL$6="SRD"),H57:AL57)+((SUMPRODUCT(($H$5:$AL$5="Fri")*($H$6:$AL$6="SRD"),H57:AL57)+((SUMPRODUCT(($H$5:$AL$5="Mon")*($H$6:$AL$6="SRD"),H58:AL58)+((SUMPRODUCT(($H$5:$AL$5="Tue")*($H$6:$AL$6="SRD"),H58:AL58)+((SUMPRODUCT(($H$5:$AL$5="Wed")*($H$6:$AL$6="SRD"),H58:AL58)+((SUMPRODUCT(($H$5:$AL$5="Thu")*($H$6:$AL$6="SRD"),H58:AL58)+((SUMPRODUCT(($H$5:$AL$5="Fri")*($H$6:$AL$6="SRD"),H58:AL58)))))))))))))))))))))/2</f>
        <v>#VALUE!</v>
      </c>
      <c r="AS57" s="158">
        <f t="shared" ref="AS57" si="117">(SUMIF($H$6:$AL$6,"PH",H57:AL57)+SUMIF($H$6:$AL$6,"PH",H58:AL58))/2</f>
        <v>0</v>
      </c>
      <c r="AT57" s="154">
        <f t="shared" ref="AT57" si="118">ROUND(D57/8*AM57*1.5,2)</f>
        <v>0</v>
      </c>
      <c r="AU57" s="156">
        <f t="shared" ref="AU57" si="119">ROUND(D57/8*AN57*2,2)</f>
        <v>0</v>
      </c>
      <c r="AV57" s="160">
        <f t="shared" ref="AV57" si="120">ROUND(D57/8*AO57*3,2)</f>
        <v>0</v>
      </c>
      <c r="AW57" s="162" t="e">
        <f t="shared" ref="AW57" si="121">(D57*(AQ57+2*AR57+3*AS57))+AT57+AU57+AV57+AP57</f>
        <v>#VALUE!</v>
      </c>
    </row>
    <row r="58" spans="1:49" ht="15" thickBot="1">
      <c r="A58" s="165"/>
      <c r="B58" s="167"/>
      <c r="C58" s="167"/>
      <c r="D58" s="167"/>
      <c r="E58" s="167"/>
      <c r="F58" s="169"/>
      <c r="G58" s="27" t="s">
        <v>91</v>
      </c>
      <c r="H58" s="4"/>
      <c r="I58" s="5"/>
      <c r="J58" s="5"/>
      <c r="K58" s="5"/>
      <c r="L58" s="5"/>
      <c r="M58" s="5"/>
      <c r="N58" s="5"/>
      <c r="O58" s="5"/>
      <c r="P58" s="5"/>
      <c r="Q58" s="5"/>
      <c r="R58" s="5"/>
      <c r="S58" s="5"/>
      <c r="T58" s="5"/>
      <c r="U58" s="5"/>
      <c r="V58" s="5"/>
      <c r="W58" s="5"/>
      <c r="X58" s="5"/>
      <c r="Y58" s="5"/>
      <c r="Z58" s="5"/>
      <c r="AA58" s="5"/>
      <c r="AB58" s="5"/>
      <c r="AC58" s="5"/>
      <c r="AD58" s="5"/>
      <c r="AE58" s="5"/>
      <c r="AF58" s="5"/>
      <c r="AG58" s="5"/>
      <c r="AH58" s="5"/>
      <c r="AI58" s="5"/>
      <c r="AJ58" s="5"/>
      <c r="AK58" s="5"/>
      <c r="AL58" s="6"/>
      <c r="AM58" s="171"/>
      <c r="AN58" s="173"/>
      <c r="AO58" s="175"/>
      <c r="AP58" s="153"/>
      <c r="AQ58" s="207"/>
      <c r="AR58" s="209"/>
      <c r="AS58" s="159"/>
      <c r="AT58" s="155"/>
      <c r="AU58" s="157"/>
      <c r="AV58" s="161"/>
      <c r="AW58" s="163"/>
    </row>
    <row r="59" spans="1:49">
      <c r="A59" s="164">
        <v>26</v>
      </c>
      <c r="B59" s="166"/>
      <c r="C59" s="166"/>
      <c r="D59" s="166"/>
      <c r="E59" s="166"/>
      <c r="F59" s="168"/>
      <c r="G59" s="23" t="s">
        <v>90</v>
      </c>
      <c r="H59" s="1"/>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c r="AK59" s="2"/>
      <c r="AL59" s="3"/>
      <c r="AM59" s="170"/>
      <c r="AN59" s="172"/>
      <c r="AO59" s="174"/>
      <c r="AP59" s="152"/>
      <c r="AQ59" s="206" t="e" cm="1">
        <f t="array" ref="AQ59">((SUMPRODUCT(($H$5:$AL$5="Mon")*($H$6:$AL$6&lt;&gt;"PH")*($H$6:$AL$6&lt;&gt;"RH")*($H$6:$AL$6&lt;&gt;"SRD"),H59:AL59)+SUMPRODUCT(($H$5:$AL$5="Tue")*($H$6:$AL$6&lt;&gt;"PH")*($H$6:$AL$6&lt;&gt;"RH")*($H$6:$AL$6&lt;&gt;"SRD"),H59:AL59)+SUMPRODUCT(($H$5:$AL$5="Wed")*($H$6:$AL$6&lt;&gt;"PH")*($H$6:$AL$6&lt;&gt;"RH")*($H$6:$AL$6&lt;&gt;"SRD"),H59:AL59)+SUMPRODUCT(($H$5:$AL$5="Thu")*($H$6:$AL$6&lt;&gt;"PH")*($H$6:$AL$6&lt;&gt;"RH")*($H$6:$AL$6&lt;&gt;"SRD"),H59:AL59)+SUMPRODUCT(($H$5:$AL$5="Fri")*($H$6:$AL$6&lt;&gt;"PH")*($H$6:$AL$6&lt;&gt;"RH")*($H$6:$AL$6&lt;&gt;"SRD"),H59:AL59))+(SUMPRODUCT(($H$5:$AL$5="Mon")*($H$6:$AL$6&lt;&gt;"PH")*($H$6:$AL$6&lt;&gt;"RH")*($H$6:$AL$6&lt;&gt;"SRD"),H60:AL60)+SUMPRODUCT(($H$5:$AL$5="Tue")*($H$6:$AL$6&lt;&gt;"PH")*($H$6:$AL$6&lt;&gt;"RH")*($H$6:$AL$6&lt;&gt;"SRD"),H60:AL60)+SUMPRODUCT(($H$5:$AL$5="Wed")*($H$6:$AL$6&lt;&gt;"PH")*($H$6:$AL$6&lt;&gt;"RH")*($H$6:$AL$6&lt;&gt;"SRD"),H60:AL60)+SUMPRODUCT(($H$5:$AL$5="Thu")*($H$6:$AL$6&lt;&gt;"PH")*($H$6:$AL$6&lt;&gt;"RH")*($H$6:$AL$6&lt;&gt;"SRD"),H60:AL60)+SUMPRODUCT(($H$5:$AL$5="Fri")*($H$6:$AL$6&lt;&gt;"PH")*($H$6:$AL$6&lt;&gt;"RH")*($H$6:$AL$6&lt;&gt;"SRD"),H60:AL60)))/2
+((SUMPRODUCT(($H$5:$AL$5="Sat")*($H$6:$AL$6="SWD"),H59:AL59)+SUMPRODUCT(($H$5:$AL$5="Sun")*($H$6:$AL$6="SWD"),H59:AL59)+SUMPRODUCT(($H$5:$AL$5="Sat")*($H$6:$AL$6="SWD"),H60:AL60)+SUMPRODUCT(($H$5:$AL$5="Sun")*($H$6:$AL$6="SWD"),H60:AL60))/2)</f>
        <v>#VALUE!</v>
      </c>
      <c r="AR59" s="208" t="e" cm="1">
        <f t="array" ref="AR59">((SUMPRODUCT(($H$5:$AL$5="Sat")*($H$6:$AL$6&lt;&gt;"PH")*($H$6:$AL$6&lt;&gt;"SWD"),H59:AL59)+SUMPRODUCT(($H$5:$AL$5="Sun")*($H$6:$AL$6&lt;&gt;"PH")*($H$6:$AL$6&lt;&gt;"SWD"),H59:AL59)+((SUMPRODUCT(($H$5:$AL$5="Mon")*($H$6:$AL$6="RH"),H59:AL59)+((SUMPRODUCT(($H$5:$AL$5="Tue")*($H$6:$AL$6="RH"),H59:AL59)+((SUMPRODUCT(($H$5:$AL$5="Wed")*($H$6:$AL$6="RH"),H59:AL59)+((SUMPRODUCT(($H$5:$AL$5="Thu")*($H$6:$AL$6="RH"),H59:AL59)+((SUMPRODUCT(($H$5:$AL$5="Fri")*($H$6:$AL$6="RH"),H59:AL59)+(SUMPRODUCT(($H$5:$AL$5="Sat")*($H$6:$AL$6&lt;&gt;"PH")*($H$6:$AL$6&lt;&gt;"SWD"),H60:AL60)+SUMPRODUCT(($H$5:$AL$5="Sun")*($H$6:$AL$6&lt;&gt;"PH")*($H$6:$AL$6&lt;&gt;"SWD"),H60:AL60)+((SUMPRODUCT(($H$5:$AL$5="Mon")*($H$6:$AL$6="RH"),H60:AL60)+((SUMPRODUCT(($H$5:$AL$5="Tue")*($H$6:$AL$6="RH"),H60:AL60)+((SUMPRODUCT(($H$5:$AL$5="Wed")*($H$6:$AL$6="RH"),H60:AL60)+((SUMPRODUCT(($H$5:$AL$5="Thu")*($H$6:$AL$6="RH"),H60:AL60)+((SUMPRODUCT(($H$5:$AL$5="Fri")*($H$6:$AL$6="RH"),H60:AL60))))))))))))))))))))))))/2
+((SUMPRODUCT(($H$5:$AL$5="Mon")*($H$6:$AL$6="SRD"),H59:AL59)+((SUMPRODUCT(($H$5:$AL$5="Tue")*($H$6:$AL$6="SRD"),H59:AL59)+((SUMPRODUCT(($H$5:$AL$5="Wed")*($H$6:$AL$6="SRD"),H59:AL59)+((SUMPRODUCT(($H$5:$AL$5="Thu")*($H$6:$AL$6="SRD"),H59:AL59)+((SUMPRODUCT(($H$5:$AL$5="Fri")*($H$6:$AL$6="SRD"),H59:AL59)+((SUMPRODUCT(($H$5:$AL$5="Mon")*($H$6:$AL$6="SRD"),H60:AL60)+((SUMPRODUCT(($H$5:$AL$5="Tue")*($H$6:$AL$6="SRD"),H60:AL60)+((SUMPRODUCT(($H$5:$AL$5="Wed")*($H$6:$AL$6="SRD"),H60:AL60)+((SUMPRODUCT(($H$5:$AL$5="Thu")*($H$6:$AL$6="SRD"),H60:AL60)+((SUMPRODUCT(($H$5:$AL$5="Fri")*($H$6:$AL$6="SRD"),H60:AL60)))))))))))))))))))))/2</f>
        <v>#VALUE!</v>
      </c>
      <c r="AS59" s="158">
        <f t="shared" ref="AS59" si="122">(SUMIF($H$6:$AL$6,"PH",H59:AL59)+SUMIF($H$6:$AL$6,"PH",H60:AL60))/2</f>
        <v>0</v>
      </c>
      <c r="AT59" s="154">
        <f t="shared" ref="AT59" si="123">ROUND(D59/8*AM59*1.5,2)</f>
        <v>0</v>
      </c>
      <c r="AU59" s="156">
        <f t="shared" ref="AU59" si="124">ROUND(D59/8*AN59*2,2)</f>
        <v>0</v>
      </c>
      <c r="AV59" s="160">
        <f t="shared" ref="AV59" si="125">ROUND(D59/8*AO59*3,2)</f>
        <v>0</v>
      </c>
      <c r="AW59" s="162" t="e">
        <f t="shared" ref="AW59" si="126">(D59*(AQ59+2*AR59+3*AS59))+AT59+AU59+AV59+AP59</f>
        <v>#VALUE!</v>
      </c>
    </row>
    <row r="60" spans="1:49" ht="15" thickBot="1">
      <c r="A60" s="165"/>
      <c r="B60" s="167"/>
      <c r="C60" s="167"/>
      <c r="D60" s="167"/>
      <c r="E60" s="167"/>
      <c r="F60" s="169"/>
      <c r="G60" s="27" t="s">
        <v>91</v>
      </c>
      <c r="H60" s="4"/>
      <c r="I60" s="5"/>
      <c r="J60" s="5"/>
      <c r="K60" s="5"/>
      <c r="L60" s="5"/>
      <c r="M60" s="5"/>
      <c r="N60" s="5"/>
      <c r="O60" s="5"/>
      <c r="P60" s="5"/>
      <c r="Q60" s="5"/>
      <c r="R60" s="5"/>
      <c r="S60" s="5"/>
      <c r="T60" s="5"/>
      <c r="U60" s="5"/>
      <c r="V60" s="5"/>
      <c r="W60" s="5"/>
      <c r="X60" s="5"/>
      <c r="Y60" s="5"/>
      <c r="Z60" s="5"/>
      <c r="AA60" s="5"/>
      <c r="AB60" s="5"/>
      <c r="AC60" s="5"/>
      <c r="AD60" s="5"/>
      <c r="AE60" s="5"/>
      <c r="AF60" s="5"/>
      <c r="AG60" s="5"/>
      <c r="AH60" s="5"/>
      <c r="AI60" s="5"/>
      <c r="AJ60" s="5"/>
      <c r="AK60" s="5"/>
      <c r="AL60" s="6"/>
      <c r="AM60" s="171"/>
      <c r="AN60" s="173"/>
      <c r="AO60" s="175"/>
      <c r="AP60" s="153"/>
      <c r="AQ60" s="207"/>
      <c r="AR60" s="209"/>
      <c r="AS60" s="159"/>
      <c r="AT60" s="155"/>
      <c r="AU60" s="157"/>
      <c r="AV60" s="161"/>
      <c r="AW60" s="163"/>
    </row>
    <row r="61" spans="1:49">
      <c r="A61" s="164">
        <v>27</v>
      </c>
      <c r="B61" s="166"/>
      <c r="C61" s="166"/>
      <c r="D61" s="166"/>
      <c r="E61" s="166"/>
      <c r="F61" s="168"/>
      <c r="G61" s="23" t="s">
        <v>90</v>
      </c>
      <c r="H61" s="1"/>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c r="AJ61" s="2"/>
      <c r="AK61" s="2"/>
      <c r="AL61" s="3"/>
      <c r="AM61" s="170"/>
      <c r="AN61" s="172"/>
      <c r="AO61" s="174"/>
      <c r="AP61" s="152"/>
      <c r="AQ61" s="206" t="e" cm="1">
        <f t="array" ref="AQ61">((SUMPRODUCT(($H$5:$AL$5="Mon")*($H$6:$AL$6&lt;&gt;"PH")*($H$6:$AL$6&lt;&gt;"RH")*($H$6:$AL$6&lt;&gt;"SRD"),H61:AL61)+SUMPRODUCT(($H$5:$AL$5="Tue")*($H$6:$AL$6&lt;&gt;"PH")*($H$6:$AL$6&lt;&gt;"RH")*($H$6:$AL$6&lt;&gt;"SRD"),H61:AL61)+SUMPRODUCT(($H$5:$AL$5="Wed")*($H$6:$AL$6&lt;&gt;"PH")*($H$6:$AL$6&lt;&gt;"RH")*($H$6:$AL$6&lt;&gt;"SRD"),H61:AL61)+SUMPRODUCT(($H$5:$AL$5="Thu")*($H$6:$AL$6&lt;&gt;"PH")*($H$6:$AL$6&lt;&gt;"RH")*($H$6:$AL$6&lt;&gt;"SRD"),H61:AL61)+SUMPRODUCT(($H$5:$AL$5="Fri")*($H$6:$AL$6&lt;&gt;"PH")*($H$6:$AL$6&lt;&gt;"RH")*($H$6:$AL$6&lt;&gt;"SRD"),H61:AL61))+(SUMPRODUCT(($H$5:$AL$5="Mon")*($H$6:$AL$6&lt;&gt;"PH")*($H$6:$AL$6&lt;&gt;"RH")*($H$6:$AL$6&lt;&gt;"SRD"),H62:AL62)+SUMPRODUCT(($H$5:$AL$5="Tue")*($H$6:$AL$6&lt;&gt;"PH")*($H$6:$AL$6&lt;&gt;"RH")*($H$6:$AL$6&lt;&gt;"SRD"),H62:AL62)+SUMPRODUCT(($H$5:$AL$5="Wed")*($H$6:$AL$6&lt;&gt;"PH")*($H$6:$AL$6&lt;&gt;"RH")*($H$6:$AL$6&lt;&gt;"SRD"),H62:AL62)+SUMPRODUCT(($H$5:$AL$5="Thu")*($H$6:$AL$6&lt;&gt;"PH")*($H$6:$AL$6&lt;&gt;"RH")*($H$6:$AL$6&lt;&gt;"SRD"),H62:AL62)+SUMPRODUCT(($H$5:$AL$5="Fri")*($H$6:$AL$6&lt;&gt;"PH")*($H$6:$AL$6&lt;&gt;"RH")*($H$6:$AL$6&lt;&gt;"SRD"),H62:AL62)))/2
+((SUMPRODUCT(($H$5:$AL$5="Sat")*($H$6:$AL$6="SWD"),H61:AL61)+SUMPRODUCT(($H$5:$AL$5="Sun")*($H$6:$AL$6="SWD"),H61:AL61)+SUMPRODUCT(($H$5:$AL$5="Sat")*($H$6:$AL$6="SWD"),H62:AL62)+SUMPRODUCT(($H$5:$AL$5="Sun")*($H$6:$AL$6="SWD"),H62:AL62))/2)</f>
        <v>#VALUE!</v>
      </c>
      <c r="AR61" s="208" t="e" cm="1">
        <f t="array" ref="AR61">((SUMPRODUCT(($H$5:$AL$5="Sat")*($H$6:$AL$6&lt;&gt;"PH")*($H$6:$AL$6&lt;&gt;"SWD"),H61:AL61)+SUMPRODUCT(($H$5:$AL$5="Sun")*($H$6:$AL$6&lt;&gt;"PH")*($H$6:$AL$6&lt;&gt;"SWD"),H61:AL61)+((SUMPRODUCT(($H$5:$AL$5="Mon")*($H$6:$AL$6="RH"),H61:AL61)+((SUMPRODUCT(($H$5:$AL$5="Tue")*($H$6:$AL$6="RH"),H61:AL61)+((SUMPRODUCT(($H$5:$AL$5="Wed")*($H$6:$AL$6="RH"),H61:AL61)+((SUMPRODUCT(($H$5:$AL$5="Thu")*($H$6:$AL$6="RH"),H61:AL61)+((SUMPRODUCT(($H$5:$AL$5="Fri")*($H$6:$AL$6="RH"),H61:AL61)+(SUMPRODUCT(($H$5:$AL$5="Sat")*($H$6:$AL$6&lt;&gt;"PH")*($H$6:$AL$6&lt;&gt;"SWD"),H62:AL62)+SUMPRODUCT(($H$5:$AL$5="Sun")*($H$6:$AL$6&lt;&gt;"PH")*($H$6:$AL$6&lt;&gt;"SWD"),H62:AL62)+((SUMPRODUCT(($H$5:$AL$5="Mon")*($H$6:$AL$6="RH"),H62:AL62)+((SUMPRODUCT(($H$5:$AL$5="Tue")*($H$6:$AL$6="RH"),H62:AL62)+((SUMPRODUCT(($H$5:$AL$5="Wed")*($H$6:$AL$6="RH"),H62:AL62)+((SUMPRODUCT(($H$5:$AL$5="Thu")*($H$6:$AL$6="RH"),H62:AL62)+((SUMPRODUCT(($H$5:$AL$5="Fri")*($H$6:$AL$6="RH"),H62:AL62))))))))))))))))))))))))/2
+((SUMPRODUCT(($H$5:$AL$5="Mon")*($H$6:$AL$6="SRD"),H61:AL61)+((SUMPRODUCT(($H$5:$AL$5="Tue")*($H$6:$AL$6="SRD"),H61:AL61)+((SUMPRODUCT(($H$5:$AL$5="Wed")*($H$6:$AL$6="SRD"),H61:AL61)+((SUMPRODUCT(($H$5:$AL$5="Thu")*($H$6:$AL$6="SRD"),H61:AL61)+((SUMPRODUCT(($H$5:$AL$5="Fri")*($H$6:$AL$6="SRD"),H61:AL61)+((SUMPRODUCT(($H$5:$AL$5="Mon")*($H$6:$AL$6="SRD"),H62:AL62)+((SUMPRODUCT(($H$5:$AL$5="Tue")*($H$6:$AL$6="SRD"),H62:AL62)+((SUMPRODUCT(($H$5:$AL$5="Wed")*($H$6:$AL$6="SRD"),H62:AL62)+((SUMPRODUCT(($H$5:$AL$5="Thu")*($H$6:$AL$6="SRD"),H62:AL62)+((SUMPRODUCT(($H$5:$AL$5="Fri")*($H$6:$AL$6="SRD"),H62:AL62)))))))))))))))))))))/2</f>
        <v>#VALUE!</v>
      </c>
      <c r="AS61" s="158">
        <f t="shared" ref="AS61" si="127">(SUMIF($H$6:$AL$6,"PH",H61:AL61)+SUMIF($H$6:$AL$6,"PH",H62:AL62))/2</f>
        <v>0</v>
      </c>
      <c r="AT61" s="154">
        <f t="shared" ref="AT61" si="128">ROUND(D61/8*AM61*1.5,2)</f>
        <v>0</v>
      </c>
      <c r="AU61" s="156">
        <f t="shared" ref="AU61" si="129">ROUND(D61/8*AN61*2,2)</f>
        <v>0</v>
      </c>
      <c r="AV61" s="160">
        <f t="shared" ref="AV61" si="130">ROUND(D61/8*AO61*3,2)</f>
        <v>0</v>
      </c>
      <c r="AW61" s="162" t="e">
        <f t="shared" ref="AW61" si="131">(D61*(AQ61+2*AR61+3*AS61))+AT61+AU61+AV61+AP61</f>
        <v>#VALUE!</v>
      </c>
    </row>
    <row r="62" spans="1:49" ht="15" thickBot="1">
      <c r="A62" s="165"/>
      <c r="B62" s="167"/>
      <c r="C62" s="167"/>
      <c r="D62" s="167"/>
      <c r="E62" s="167"/>
      <c r="F62" s="169"/>
      <c r="G62" s="27" t="s">
        <v>91</v>
      </c>
      <c r="H62" s="4"/>
      <c r="I62" s="5"/>
      <c r="J62" s="5"/>
      <c r="K62" s="5"/>
      <c r="L62" s="5"/>
      <c r="M62" s="5"/>
      <c r="N62" s="5"/>
      <c r="O62" s="5"/>
      <c r="P62" s="5"/>
      <c r="Q62" s="5"/>
      <c r="R62" s="5"/>
      <c r="S62" s="5"/>
      <c r="T62" s="5"/>
      <c r="U62" s="5"/>
      <c r="V62" s="5"/>
      <c r="W62" s="5"/>
      <c r="X62" s="5"/>
      <c r="Y62" s="5"/>
      <c r="Z62" s="5"/>
      <c r="AA62" s="5"/>
      <c r="AB62" s="5"/>
      <c r="AC62" s="5"/>
      <c r="AD62" s="5"/>
      <c r="AE62" s="5"/>
      <c r="AF62" s="5"/>
      <c r="AG62" s="5"/>
      <c r="AH62" s="5"/>
      <c r="AI62" s="5"/>
      <c r="AJ62" s="5"/>
      <c r="AK62" s="5"/>
      <c r="AL62" s="6"/>
      <c r="AM62" s="171"/>
      <c r="AN62" s="173"/>
      <c r="AO62" s="175"/>
      <c r="AP62" s="153"/>
      <c r="AQ62" s="207"/>
      <c r="AR62" s="209"/>
      <c r="AS62" s="159"/>
      <c r="AT62" s="155"/>
      <c r="AU62" s="157"/>
      <c r="AV62" s="161"/>
      <c r="AW62" s="163"/>
    </row>
    <row r="63" spans="1:49">
      <c r="A63" s="164">
        <v>28</v>
      </c>
      <c r="B63" s="166"/>
      <c r="C63" s="166"/>
      <c r="D63" s="166"/>
      <c r="E63" s="166"/>
      <c r="F63" s="168"/>
      <c r="G63" s="23" t="s">
        <v>90</v>
      </c>
      <c r="H63" s="1"/>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c r="AJ63" s="2"/>
      <c r="AK63" s="2"/>
      <c r="AL63" s="3"/>
      <c r="AM63" s="170"/>
      <c r="AN63" s="172"/>
      <c r="AO63" s="174"/>
      <c r="AP63" s="152"/>
      <c r="AQ63" s="206" t="e" cm="1">
        <f t="array" ref="AQ63">((SUMPRODUCT(($H$5:$AL$5="Mon")*($H$6:$AL$6&lt;&gt;"PH")*($H$6:$AL$6&lt;&gt;"RH")*($H$6:$AL$6&lt;&gt;"SRD"),H63:AL63)+SUMPRODUCT(($H$5:$AL$5="Tue")*($H$6:$AL$6&lt;&gt;"PH")*($H$6:$AL$6&lt;&gt;"RH")*($H$6:$AL$6&lt;&gt;"SRD"),H63:AL63)+SUMPRODUCT(($H$5:$AL$5="Wed")*($H$6:$AL$6&lt;&gt;"PH")*($H$6:$AL$6&lt;&gt;"RH")*($H$6:$AL$6&lt;&gt;"SRD"),H63:AL63)+SUMPRODUCT(($H$5:$AL$5="Thu")*($H$6:$AL$6&lt;&gt;"PH")*($H$6:$AL$6&lt;&gt;"RH")*($H$6:$AL$6&lt;&gt;"SRD"),H63:AL63)+SUMPRODUCT(($H$5:$AL$5="Fri")*($H$6:$AL$6&lt;&gt;"PH")*($H$6:$AL$6&lt;&gt;"RH")*($H$6:$AL$6&lt;&gt;"SRD"),H63:AL63))+(SUMPRODUCT(($H$5:$AL$5="Mon")*($H$6:$AL$6&lt;&gt;"PH")*($H$6:$AL$6&lt;&gt;"RH")*($H$6:$AL$6&lt;&gt;"SRD"),H64:AL64)+SUMPRODUCT(($H$5:$AL$5="Tue")*($H$6:$AL$6&lt;&gt;"PH")*($H$6:$AL$6&lt;&gt;"RH")*($H$6:$AL$6&lt;&gt;"SRD"),H64:AL64)+SUMPRODUCT(($H$5:$AL$5="Wed")*($H$6:$AL$6&lt;&gt;"PH")*($H$6:$AL$6&lt;&gt;"RH")*($H$6:$AL$6&lt;&gt;"SRD"),H64:AL64)+SUMPRODUCT(($H$5:$AL$5="Thu")*($H$6:$AL$6&lt;&gt;"PH")*($H$6:$AL$6&lt;&gt;"RH")*($H$6:$AL$6&lt;&gt;"SRD"),H64:AL64)+SUMPRODUCT(($H$5:$AL$5="Fri")*($H$6:$AL$6&lt;&gt;"PH")*($H$6:$AL$6&lt;&gt;"RH")*($H$6:$AL$6&lt;&gt;"SRD"),H64:AL64)))/2
+((SUMPRODUCT(($H$5:$AL$5="Sat")*($H$6:$AL$6="SWD"),H63:AL63)+SUMPRODUCT(($H$5:$AL$5="Sun")*($H$6:$AL$6="SWD"),H63:AL63)+SUMPRODUCT(($H$5:$AL$5="Sat")*($H$6:$AL$6="SWD"),H64:AL64)+SUMPRODUCT(($H$5:$AL$5="Sun")*($H$6:$AL$6="SWD"),H64:AL64))/2)</f>
        <v>#VALUE!</v>
      </c>
      <c r="AR63" s="208" t="e" cm="1">
        <f t="array" ref="AR63">((SUMPRODUCT(($H$5:$AL$5="Sat")*($H$6:$AL$6&lt;&gt;"PH")*($H$6:$AL$6&lt;&gt;"SWD"),H63:AL63)+SUMPRODUCT(($H$5:$AL$5="Sun")*($H$6:$AL$6&lt;&gt;"PH")*($H$6:$AL$6&lt;&gt;"SWD"),H63:AL63)+((SUMPRODUCT(($H$5:$AL$5="Mon")*($H$6:$AL$6="RH"),H63:AL63)+((SUMPRODUCT(($H$5:$AL$5="Tue")*($H$6:$AL$6="RH"),H63:AL63)+((SUMPRODUCT(($H$5:$AL$5="Wed")*($H$6:$AL$6="RH"),H63:AL63)+((SUMPRODUCT(($H$5:$AL$5="Thu")*($H$6:$AL$6="RH"),H63:AL63)+((SUMPRODUCT(($H$5:$AL$5="Fri")*($H$6:$AL$6="RH"),H63:AL63)+(SUMPRODUCT(($H$5:$AL$5="Sat")*($H$6:$AL$6&lt;&gt;"PH")*($H$6:$AL$6&lt;&gt;"SWD"),H64:AL64)+SUMPRODUCT(($H$5:$AL$5="Sun")*($H$6:$AL$6&lt;&gt;"PH")*($H$6:$AL$6&lt;&gt;"SWD"),H64:AL64)+((SUMPRODUCT(($H$5:$AL$5="Mon")*($H$6:$AL$6="RH"),H64:AL64)+((SUMPRODUCT(($H$5:$AL$5="Tue")*($H$6:$AL$6="RH"),H64:AL64)+((SUMPRODUCT(($H$5:$AL$5="Wed")*($H$6:$AL$6="RH"),H64:AL64)+((SUMPRODUCT(($H$5:$AL$5="Thu")*($H$6:$AL$6="RH"),H64:AL64)+((SUMPRODUCT(($H$5:$AL$5="Fri")*($H$6:$AL$6="RH"),H64:AL64))))))))))))))))))))))))/2
+((SUMPRODUCT(($H$5:$AL$5="Mon")*($H$6:$AL$6="SRD"),H63:AL63)+((SUMPRODUCT(($H$5:$AL$5="Tue")*($H$6:$AL$6="SRD"),H63:AL63)+((SUMPRODUCT(($H$5:$AL$5="Wed")*($H$6:$AL$6="SRD"),H63:AL63)+((SUMPRODUCT(($H$5:$AL$5="Thu")*($H$6:$AL$6="SRD"),H63:AL63)+((SUMPRODUCT(($H$5:$AL$5="Fri")*($H$6:$AL$6="SRD"),H63:AL63)+((SUMPRODUCT(($H$5:$AL$5="Mon")*($H$6:$AL$6="SRD"),H64:AL64)+((SUMPRODUCT(($H$5:$AL$5="Tue")*($H$6:$AL$6="SRD"),H64:AL64)+((SUMPRODUCT(($H$5:$AL$5="Wed")*($H$6:$AL$6="SRD"),H64:AL64)+((SUMPRODUCT(($H$5:$AL$5="Thu")*($H$6:$AL$6="SRD"),H64:AL64)+((SUMPRODUCT(($H$5:$AL$5="Fri")*($H$6:$AL$6="SRD"),H64:AL64)))))))))))))))))))))/2</f>
        <v>#VALUE!</v>
      </c>
      <c r="AS63" s="158">
        <f t="shared" ref="AS63" si="132">(SUMIF($H$6:$AL$6,"PH",H63:AL63)+SUMIF($H$6:$AL$6,"PH",H64:AL64))/2</f>
        <v>0</v>
      </c>
      <c r="AT63" s="154">
        <f t="shared" ref="AT63" si="133">ROUND(D63/8*AM63*1.5,2)</f>
        <v>0</v>
      </c>
      <c r="AU63" s="156">
        <f t="shared" ref="AU63" si="134">ROUND(D63/8*AN63*2,2)</f>
        <v>0</v>
      </c>
      <c r="AV63" s="160">
        <f t="shared" ref="AV63" si="135">ROUND(D63/8*AO63*3,2)</f>
        <v>0</v>
      </c>
      <c r="AW63" s="162" t="e">
        <f t="shared" ref="AW63" si="136">(D63*(AQ63+2*AR63+3*AS63))+AT63+AU63+AV63+AP63</f>
        <v>#VALUE!</v>
      </c>
    </row>
    <row r="64" spans="1:49" ht="15" thickBot="1">
      <c r="A64" s="165"/>
      <c r="B64" s="167"/>
      <c r="C64" s="167"/>
      <c r="D64" s="167"/>
      <c r="E64" s="167"/>
      <c r="F64" s="169"/>
      <c r="G64" s="27" t="s">
        <v>91</v>
      </c>
      <c r="H64" s="4"/>
      <c r="I64" s="5"/>
      <c r="J64" s="5"/>
      <c r="K64" s="5"/>
      <c r="L64" s="5"/>
      <c r="M64" s="5"/>
      <c r="N64" s="5"/>
      <c r="O64" s="5"/>
      <c r="P64" s="5"/>
      <c r="Q64" s="5"/>
      <c r="R64" s="5"/>
      <c r="S64" s="5"/>
      <c r="T64" s="5"/>
      <c r="U64" s="5"/>
      <c r="V64" s="5"/>
      <c r="W64" s="5"/>
      <c r="X64" s="5"/>
      <c r="Y64" s="5"/>
      <c r="Z64" s="5"/>
      <c r="AA64" s="5"/>
      <c r="AB64" s="5"/>
      <c r="AC64" s="5"/>
      <c r="AD64" s="5"/>
      <c r="AE64" s="5"/>
      <c r="AF64" s="5"/>
      <c r="AG64" s="5"/>
      <c r="AH64" s="5"/>
      <c r="AI64" s="5"/>
      <c r="AJ64" s="5"/>
      <c r="AK64" s="5"/>
      <c r="AL64" s="6"/>
      <c r="AM64" s="171"/>
      <c r="AN64" s="173"/>
      <c r="AO64" s="175"/>
      <c r="AP64" s="153"/>
      <c r="AQ64" s="207"/>
      <c r="AR64" s="209"/>
      <c r="AS64" s="159"/>
      <c r="AT64" s="155"/>
      <c r="AU64" s="157"/>
      <c r="AV64" s="161"/>
      <c r="AW64" s="163"/>
    </row>
    <row r="65" spans="1:49">
      <c r="A65" s="164">
        <v>29</v>
      </c>
      <c r="B65" s="166"/>
      <c r="C65" s="166"/>
      <c r="D65" s="166"/>
      <c r="E65" s="166"/>
      <c r="F65" s="168"/>
      <c r="G65" s="23" t="s">
        <v>90</v>
      </c>
      <c r="H65" s="1"/>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c r="AJ65" s="2"/>
      <c r="AK65" s="2"/>
      <c r="AL65" s="3"/>
      <c r="AM65" s="170"/>
      <c r="AN65" s="172"/>
      <c r="AO65" s="174"/>
      <c r="AP65" s="152"/>
      <c r="AQ65" s="206" t="e" cm="1">
        <f t="array" ref="AQ65">((SUMPRODUCT(($H$5:$AL$5="Mon")*($H$6:$AL$6&lt;&gt;"PH")*($H$6:$AL$6&lt;&gt;"RH")*($H$6:$AL$6&lt;&gt;"SRD"),H65:AL65)+SUMPRODUCT(($H$5:$AL$5="Tue")*($H$6:$AL$6&lt;&gt;"PH")*($H$6:$AL$6&lt;&gt;"RH")*($H$6:$AL$6&lt;&gt;"SRD"),H65:AL65)+SUMPRODUCT(($H$5:$AL$5="Wed")*($H$6:$AL$6&lt;&gt;"PH")*($H$6:$AL$6&lt;&gt;"RH")*($H$6:$AL$6&lt;&gt;"SRD"),H65:AL65)+SUMPRODUCT(($H$5:$AL$5="Thu")*($H$6:$AL$6&lt;&gt;"PH")*($H$6:$AL$6&lt;&gt;"RH")*($H$6:$AL$6&lt;&gt;"SRD"),H65:AL65)+SUMPRODUCT(($H$5:$AL$5="Fri")*($H$6:$AL$6&lt;&gt;"PH")*($H$6:$AL$6&lt;&gt;"RH")*($H$6:$AL$6&lt;&gt;"SRD"),H65:AL65))+(SUMPRODUCT(($H$5:$AL$5="Mon")*($H$6:$AL$6&lt;&gt;"PH")*($H$6:$AL$6&lt;&gt;"RH")*($H$6:$AL$6&lt;&gt;"SRD"),H66:AL66)+SUMPRODUCT(($H$5:$AL$5="Tue")*($H$6:$AL$6&lt;&gt;"PH")*($H$6:$AL$6&lt;&gt;"RH")*($H$6:$AL$6&lt;&gt;"SRD"),H66:AL66)+SUMPRODUCT(($H$5:$AL$5="Wed")*($H$6:$AL$6&lt;&gt;"PH")*($H$6:$AL$6&lt;&gt;"RH")*($H$6:$AL$6&lt;&gt;"SRD"),H66:AL66)+SUMPRODUCT(($H$5:$AL$5="Thu")*($H$6:$AL$6&lt;&gt;"PH")*($H$6:$AL$6&lt;&gt;"RH")*($H$6:$AL$6&lt;&gt;"SRD"),H66:AL66)+SUMPRODUCT(($H$5:$AL$5="Fri")*($H$6:$AL$6&lt;&gt;"PH")*($H$6:$AL$6&lt;&gt;"RH")*($H$6:$AL$6&lt;&gt;"SRD"),H66:AL66)))/2
+((SUMPRODUCT(($H$5:$AL$5="Sat")*($H$6:$AL$6="SWD"),H65:AL65)+SUMPRODUCT(($H$5:$AL$5="Sun")*($H$6:$AL$6="SWD"),H65:AL65)+SUMPRODUCT(($H$5:$AL$5="Sat")*($H$6:$AL$6="SWD"),H66:AL66)+SUMPRODUCT(($H$5:$AL$5="Sun")*($H$6:$AL$6="SWD"),H66:AL66))/2)</f>
        <v>#VALUE!</v>
      </c>
      <c r="AR65" s="208" t="e" cm="1">
        <f t="array" ref="AR65">((SUMPRODUCT(($H$5:$AL$5="Sat")*($H$6:$AL$6&lt;&gt;"PH")*($H$6:$AL$6&lt;&gt;"SWD"),H65:AL65)+SUMPRODUCT(($H$5:$AL$5="Sun")*($H$6:$AL$6&lt;&gt;"PH")*($H$6:$AL$6&lt;&gt;"SWD"),H65:AL65)+((SUMPRODUCT(($H$5:$AL$5="Mon")*($H$6:$AL$6="RH"),H65:AL65)+((SUMPRODUCT(($H$5:$AL$5="Tue")*($H$6:$AL$6="RH"),H65:AL65)+((SUMPRODUCT(($H$5:$AL$5="Wed")*($H$6:$AL$6="RH"),H65:AL65)+((SUMPRODUCT(($H$5:$AL$5="Thu")*($H$6:$AL$6="RH"),H65:AL65)+((SUMPRODUCT(($H$5:$AL$5="Fri")*($H$6:$AL$6="RH"),H65:AL65)+(SUMPRODUCT(($H$5:$AL$5="Sat")*($H$6:$AL$6&lt;&gt;"PH")*($H$6:$AL$6&lt;&gt;"SWD"),H66:AL66)+SUMPRODUCT(($H$5:$AL$5="Sun")*($H$6:$AL$6&lt;&gt;"PH")*($H$6:$AL$6&lt;&gt;"SWD"),H66:AL66)+((SUMPRODUCT(($H$5:$AL$5="Mon")*($H$6:$AL$6="RH"),H66:AL66)+((SUMPRODUCT(($H$5:$AL$5="Tue")*($H$6:$AL$6="RH"),H66:AL66)+((SUMPRODUCT(($H$5:$AL$5="Wed")*($H$6:$AL$6="RH"),H66:AL66)+((SUMPRODUCT(($H$5:$AL$5="Thu")*($H$6:$AL$6="RH"),H66:AL66)+((SUMPRODUCT(($H$5:$AL$5="Fri")*($H$6:$AL$6="RH"),H66:AL66))))))))))))))))))))))))/2
+((SUMPRODUCT(($H$5:$AL$5="Mon")*($H$6:$AL$6="SRD"),H65:AL65)+((SUMPRODUCT(($H$5:$AL$5="Tue")*($H$6:$AL$6="SRD"),H65:AL65)+((SUMPRODUCT(($H$5:$AL$5="Wed")*($H$6:$AL$6="SRD"),H65:AL65)+((SUMPRODUCT(($H$5:$AL$5="Thu")*($H$6:$AL$6="SRD"),H65:AL65)+((SUMPRODUCT(($H$5:$AL$5="Fri")*($H$6:$AL$6="SRD"),H65:AL65)+((SUMPRODUCT(($H$5:$AL$5="Mon")*($H$6:$AL$6="SRD"),H66:AL66)+((SUMPRODUCT(($H$5:$AL$5="Tue")*($H$6:$AL$6="SRD"),H66:AL66)+((SUMPRODUCT(($H$5:$AL$5="Wed")*($H$6:$AL$6="SRD"),H66:AL66)+((SUMPRODUCT(($H$5:$AL$5="Thu")*($H$6:$AL$6="SRD"),H66:AL66)+((SUMPRODUCT(($H$5:$AL$5="Fri")*($H$6:$AL$6="SRD"),H66:AL66)))))))))))))))))))))/2</f>
        <v>#VALUE!</v>
      </c>
      <c r="AS65" s="158">
        <f t="shared" ref="AS65" si="137">(SUMIF($H$6:$AL$6,"PH",H65:AL65)+SUMIF($H$6:$AL$6,"PH",H66:AL66))/2</f>
        <v>0</v>
      </c>
      <c r="AT65" s="154">
        <f t="shared" ref="AT65" si="138">ROUND(D65/8*AM65*1.5,2)</f>
        <v>0</v>
      </c>
      <c r="AU65" s="156">
        <f t="shared" ref="AU65" si="139">ROUND(D65/8*AN65*2,2)</f>
        <v>0</v>
      </c>
      <c r="AV65" s="160">
        <f t="shared" ref="AV65" si="140">ROUND(D65/8*AO65*3,2)</f>
        <v>0</v>
      </c>
      <c r="AW65" s="162" t="e">
        <f t="shared" ref="AW65" si="141">(D65*(AQ65+2*AR65+3*AS65))+AT65+AU65+AV65+AP65</f>
        <v>#VALUE!</v>
      </c>
    </row>
    <row r="66" spans="1:49" ht="15" thickBot="1">
      <c r="A66" s="165"/>
      <c r="B66" s="167"/>
      <c r="C66" s="167"/>
      <c r="D66" s="167"/>
      <c r="E66" s="167"/>
      <c r="F66" s="169"/>
      <c r="G66" s="27" t="s">
        <v>91</v>
      </c>
      <c r="H66" s="4"/>
      <c r="I66" s="5"/>
      <c r="J66" s="5"/>
      <c r="K66" s="5"/>
      <c r="L66" s="5"/>
      <c r="M66" s="5"/>
      <c r="N66" s="5"/>
      <c r="O66" s="5"/>
      <c r="P66" s="5"/>
      <c r="Q66" s="5"/>
      <c r="R66" s="5"/>
      <c r="S66" s="5"/>
      <c r="T66" s="5"/>
      <c r="U66" s="5"/>
      <c r="V66" s="5"/>
      <c r="W66" s="5"/>
      <c r="X66" s="5"/>
      <c r="Y66" s="5"/>
      <c r="Z66" s="5"/>
      <c r="AA66" s="5"/>
      <c r="AB66" s="5"/>
      <c r="AC66" s="5"/>
      <c r="AD66" s="5"/>
      <c r="AE66" s="5"/>
      <c r="AF66" s="5"/>
      <c r="AG66" s="5"/>
      <c r="AH66" s="5"/>
      <c r="AI66" s="5"/>
      <c r="AJ66" s="5"/>
      <c r="AK66" s="5"/>
      <c r="AL66" s="6"/>
      <c r="AM66" s="171"/>
      <c r="AN66" s="173"/>
      <c r="AO66" s="175"/>
      <c r="AP66" s="153"/>
      <c r="AQ66" s="207"/>
      <c r="AR66" s="209"/>
      <c r="AS66" s="159"/>
      <c r="AT66" s="155"/>
      <c r="AU66" s="157"/>
      <c r="AV66" s="161"/>
      <c r="AW66" s="163"/>
    </row>
    <row r="67" spans="1:49">
      <c r="A67" s="164">
        <v>30</v>
      </c>
      <c r="B67" s="166"/>
      <c r="C67" s="166"/>
      <c r="D67" s="166"/>
      <c r="E67" s="166"/>
      <c r="F67" s="168"/>
      <c r="G67" s="23" t="s">
        <v>90</v>
      </c>
      <c r="H67" s="1"/>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c r="AJ67" s="2"/>
      <c r="AK67" s="2"/>
      <c r="AL67" s="3"/>
      <c r="AM67" s="170"/>
      <c r="AN67" s="172"/>
      <c r="AO67" s="174"/>
      <c r="AP67" s="152"/>
      <c r="AQ67" s="206" t="e" cm="1">
        <f t="array" ref="AQ67">((SUMPRODUCT(($H$5:$AL$5="Mon")*($H$6:$AL$6&lt;&gt;"PH")*($H$6:$AL$6&lt;&gt;"RH")*($H$6:$AL$6&lt;&gt;"SRD"),H67:AL67)+SUMPRODUCT(($H$5:$AL$5="Tue")*($H$6:$AL$6&lt;&gt;"PH")*($H$6:$AL$6&lt;&gt;"RH")*($H$6:$AL$6&lt;&gt;"SRD"),H67:AL67)+SUMPRODUCT(($H$5:$AL$5="Wed")*($H$6:$AL$6&lt;&gt;"PH")*($H$6:$AL$6&lt;&gt;"RH")*($H$6:$AL$6&lt;&gt;"SRD"),H67:AL67)+SUMPRODUCT(($H$5:$AL$5="Thu")*($H$6:$AL$6&lt;&gt;"PH")*($H$6:$AL$6&lt;&gt;"RH")*($H$6:$AL$6&lt;&gt;"SRD"),H67:AL67)+SUMPRODUCT(($H$5:$AL$5="Fri")*($H$6:$AL$6&lt;&gt;"PH")*($H$6:$AL$6&lt;&gt;"RH")*($H$6:$AL$6&lt;&gt;"SRD"),H67:AL67))+(SUMPRODUCT(($H$5:$AL$5="Mon")*($H$6:$AL$6&lt;&gt;"PH")*($H$6:$AL$6&lt;&gt;"RH")*($H$6:$AL$6&lt;&gt;"SRD"),H68:AL68)+SUMPRODUCT(($H$5:$AL$5="Tue")*($H$6:$AL$6&lt;&gt;"PH")*($H$6:$AL$6&lt;&gt;"RH")*($H$6:$AL$6&lt;&gt;"SRD"),H68:AL68)+SUMPRODUCT(($H$5:$AL$5="Wed")*($H$6:$AL$6&lt;&gt;"PH")*($H$6:$AL$6&lt;&gt;"RH")*($H$6:$AL$6&lt;&gt;"SRD"),H68:AL68)+SUMPRODUCT(($H$5:$AL$5="Thu")*($H$6:$AL$6&lt;&gt;"PH")*($H$6:$AL$6&lt;&gt;"RH")*($H$6:$AL$6&lt;&gt;"SRD"),H68:AL68)+SUMPRODUCT(($H$5:$AL$5="Fri")*($H$6:$AL$6&lt;&gt;"PH")*($H$6:$AL$6&lt;&gt;"RH")*($H$6:$AL$6&lt;&gt;"SRD"),H68:AL68)))/2
+((SUMPRODUCT(($H$5:$AL$5="Sat")*($H$6:$AL$6="SWD"),H67:AL67)+SUMPRODUCT(($H$5:$AL$5="Sun")*($H$6:$AL$6="SWD"),H67:AL67)+SUMPRODUCT(($H$5:$AL$5="Sat")*($H$6:$AL$6="SWD"),H68:AL68)+SUMPRODUCT(($H$5:$AL$5="Sun")*($H$6:$AL$6="SWD"),H68:AL68))/2)</f>
        <v>#VALUE!</v>
      </c>
      <c r="AR67" s="208" t="e" cm="1">
        <f t="array" ref="AR67">((SUMPRODUCT(($H$5:$AL$5="Sat")*($H$6:$AL$6&lt;&gt;"PH")*($H$6:$AL$6&lt;&gt;"SWD"),H67:AL67)+SUMPRODUCT(($H$5:$AL$5="Sun")*($H$6:$AL$6&lt;&gt;"PH")*($H$6:$AL$6&lt;&gt;"SWD"),H67:AL67)+((SUMPRODUCT(($H$5:$AL$5="Mon")*($H$6:$AL$6="RH"),H67:AL67)+((SUMPRODUCT(($H$5:$AL$5="Tue")*($H$6:$AL$6="RH"),H67:AL67)+((SUMPRODUCT(($H$5:$AL$5="Wed")*($H$6:$AL$6="RH"),H67:AL67)+((SUMPRODUCT(($H$5:$AL$5="Thu")*($H$6:$AL$6="RH"),H67:AL67)+((SUMPRODUCT(($H$5:$AL$5="Fri")*($H$6:$AL$6="RH"),H67:AL67)+(SUMPRODUCT(($H$5:$AL$5="Sat")*($H$6:$AL$6&lt;&gt;"PH")*($H$6:$AL$6&lt;&gt;"SWD"),H68:AL68)+SUMPRODUCT(($H$5:$AL$5="Sun")*($H$6:$AL$6&lt;&gt;"PH")*($H$6:$AL$6&lt;&gt;"SWD"),H68:AL68)+((SUMPRODUCT(($H$5:$AL$5="Mon")*($H$6:$AL$6="RH"),H68:AL68)+((SUMPRODUCT(($H$5:$AL$5="Tue")*($H$6:$AL$6="RH"),H68:AL68)+((SUMPRODUCT(($H$5:$AL$5="Wed")*($H$6:$AL$6="RH"),H68:AL68)+((SUMPRODUCT(($H$5:$AL$5="Thu")*($H$6:$AL$6="RH"),H68:AL68)+((SUMPRODUCT(($H$5:$AL$5="Fri")*($H$6:$AL$6="RH"),H68:AL68))))))))))))))))))))))))/2
+((SUMPRODUCT(($H$5:$AL$5="Mon")*($H$6:$AL$6="SRD"),H67:AL67)+((SUMPRODUCT(($H$5:$AL$5="Tue")*($H$6:$AL$6="SRD"),H67:AL67)+((SUMPRODUCT(($H$5:$AL$5="Wed")*($H$6:$AL$6="SRD"),H67:AL67)+((SUMPRODUCT(($H$5:$AL$5="Thu")*($H$6:$AL$6="SRD"),H67:AL67)+((SUMPRODUCT(($H$5:$AL$5="Fri")*($H$6:$AL$6="SRD"),H67:AL67)+((SUMPRODUCT(($H$5:$AL$5="Mon")*($H$6:$AL$6="SRD"),H68:AL68)+((SUMPRODUCT(($H$5:$AL$5="Tue")*($H$6:$AL$6="SRD"),H68:AL68)+((SUMPRODUCT(($H$5:$AL$5="Wed")*($H$6:$AL$6="SRD"),H68:AL68)+((SUMPRODUCT(($H$5:$AL$5="Thu")*($H$6:$AL$6="SRD"),H68:AL68)+((SUMPRODUCT(($H$5:$AL$5="Fri")*($H$6:$AL$6="SRD"),H68:AL68)))))))))))))))))))))/2</f>
        <v>#VALUE!</v>
      </c>
      <c r="AS67" s="158">
        <f t="shared" ref="AS67" si="142">(SUMIF($H$6:$AL$6,"PH",H67:AL67)+SUMIF($H$6:$AL$6,"PH",H68:AL68))/2</f>
        <v>0</v>
      </c>
      <c r="AT67" s="154">
        <f t="shared" ref="AT67" si="143">ROUND(D67/8*AM67*1.5,2)</f>
        <v>0</v>
      </c>
      <c r="AU67" s="156">
        <f t="shared" ref="AU67" si="144">ROUND(D67/8*AN67*2,2)</f>
        <v>0</v>
      </c>
      <c r="AV67" s="160">
        <f t="shared" ref="AV67" si="145">ROUND(D67/8*AO67*3,2)</f>
        <v>0</v>
      </c>
      <c r="AW67" s="162" t="e">
        <f t="shared" ref="AW67" si="146">(D67*(AQ67+2*AR67+3*AS67))+AT67+AU67+AV67+AP67</f>
        <v>#VALUE!</v>
      </c>
    </row>
    <row r="68" spans="1:49" ht="15" thickBot="1">
      <c r="A68" s="165"/>
      <c r="B68" s="167"/>
      <c r="C68" s="167"/>
      <c r="D68" s="167"/>
      <c r="E68" s="167"/>
      <c r="F68" s="169"/>
      <c r="G68" s="27" t="s">
        <v>91</v>
      </c>
      <c r="H68" s="4"/>
      <c r="I68" s="5"/>
      <c r="J68" s="5"/>
      <c r="K68" s="5"/>
      <c r="L68" s="5"/>
      <c r="M68" s="5"/>
      <c r="N68" s="5"/>
      <c r="O68" s="5"/>
      <c r="P68" s="5"/>
      <c r="Q68" s="5"/>
      <c r="R68" s="5"/>
      <c r="S68" s="5"/>
      <c r="T68" s="5"/>
      <c r="U68" s="5"/>
      <c r="V68" s="5"/>
      <c r="W68" s="5"/>
      <c r="X68" s="5"/>
      <c r="Y68" s="5"/>
      <c r="Z68" s="5"/>
      <c r="AA68" s="5"/>
      <c r="AB68" s="5"/>
      <c r="AC68" s="5"/>
      <c r="AD68" s="5"/>
      <c r="AE68" s="5"/>
      <c r="AF68" s="5"/>
      <c r="AG68" s="5"/>
      <c r="AH68" s="5"/>
      <c r="AI68" s="5"/>
      <c r="AJ68" s="5"/>
      <c r="AK68" s="5"/>
      <c r="AL68" s="6"/>
      <c r="AM68" s="171"/>
      <c r="AN68" s="173"/>
      <c r="AO68" s="175"/>
      <c r="AP68" s="153"/>
      <c r="AQ68" s="207"/>
      <c r="AR68" s="209"/>
      <c r="AS68" s="159"/>
      <c r="AT68" s="155"/>
      <c r="AU68" s="157"/>
      <c r="AV68" s="161"/>
      <c r="AW68" s="163"/>
    </row>
  </sheetData>
  <sheetProtection algorithmName="SHA-512" hashValue="CHhTnEX/bPg8IPGGiLICW79PLwW9DigmxAVMG7RprIx29xf6K+GBWGXKU7UfRtZKcAHNH5cPeRTTvhfv0W1LsA==" saltValue="gc18LfQEuTENVccOtqDv8g==" spinCount="100000" sheet="1" insertRows="0" autoFilter="0"/>
  <autoFilter ref="A6:AX6" xr:uid="{A1C77DC3-2599-4F87-9016-979FCBD8466A}"/>
  <mergeCells count="543">
    <mergeCell ref="AW65:AW66"/>
    <mergeCell ref="F65:F66"/>
    <mergeCell ref="AM65:AM66"/>
    <mergeCell ref="AN65:AN66"/>
    <mergeCell ref="AO65:AO66"/>
    <mergeCell ref="AP65:AP66"/>
    <mergeCell ref="AQ65:AQ66"/>
    <mergeCell ref="AU67:AU68"/>
    <mergeCell ref="AV67:AV68"/>
    <mergeCell ref="AW67:AW68"/>
    <mergeCell ref="A67:A68"/>
    <mergeCell ref="B67:B68"/>
    <mergeCell ref="C67:C68"/>
    <mergeCell ref="D67:D68"/>
    <mergeCell ref="E67:E68"/>
    <mergeCell ref="F67:F68"/>
    <mergeCell ref="AR65:AR66"/>
    <mergeCell ref="AS65:AS66"/>
    <mergeCell ref="AT65:AT66"/>
    <mergeCell ref="AS67:AS68"/>
    <mergeCell ref="AT67:AT68"/>
    <mergeCell ref="AM67:AM68"/>
    <mergeCell ref="AN67:AN68"/>
    <mergeCell ref="AO67:AO68"/>
    <mergeCell ref="AP67:AP68"/>
    <mergeCell ref="AQ67:AQ68"/>
    <mergeCell ref="AR67:AR68"/>
    <mergeCell ref="AS63:AS64"/>
    <mergeCell ref="AT63:AT64"/>
    <mergeCell ref="AU63:AU64"/>
    <mergeCell ref="AV63:AV64"/>
    <mergeCell ref="AW63:AW64"/>
    <mergeCell ref="A65:A66"/>
    <mergeCell ref="B65:B66"/>
    <mergeCell ref="C65:C66"/>
    <mergeCell ref="D65:D66"/>
    <mergeCell ref="E65:E66"/>
    <mergeCell ref="AM63:AM64"/>
    <mergeCell ref="AN63:AN64"/>
    <mergeCell ref="AO63:AO64"/>
    <mergeCell ref="AP63:AP64"/>
    <mergeCell ref="AQ63:AQ64"/>
    <mergeCell ref="AR63:AR64"/>
    <mergeCell ref="A63:A64"/>
    <mergeCell ref="B63:B64"/>
    <mergeCell ref="C63:C64"/>
    <mergeCell ref="D63:D64"/>
    <mergeCell ref="E63:E64"/>
    <mergeCell ref="F63:F64"/>
    <mergeCell ref="AU65:AU66"/>
    <mergeCell ref="AV65:AV66"/>
    <mergeCell ref="AT61:AT62"/>
    <mergeCell ref="AU61:AU62"/>
    <mergeCell ref="AV61:AV62"/>
    <mergeCell ref="AW61:AW62"/>
    <mergeCell ref="F61:F62"/>
    <mergeCell ref="AM61:AM62"/>
    <mergeCell ref="AN61:AN62"/>
    <mergeCell ref="AO61:AO62"/>
    <mergeCell ref="AP61:AP62"/>
    <mergeCell ref="AQ61:AQ62"/>
    <mergeCell ref="AS59:AS60"/>
    <mergeCell ref="AT59:AT60"/>
    <mergeCell ref="AU59:AU60"/>
    <mergeCell ref="AV59:AV60"/>
    <mergeCell ref="AW59:AW60"/>
    <mergeCell ref="A61:A62"/>
    <mergeCell ref="B61:B62"/>
    <mergeCell ref="C61:C62"/>
    <mergeCell ref="D61:D62"/>
    <mergeCell ref="E61:E62"/>
    <mergeCell ref="AM59:AM60"/>
    <mergeCell ref="AN59:AN60"/>
    <mergeCell ref="AO59:AO60"/>
    <mergeCell ref="AP59:AP60"/>
    <mergeCell ref="AQ59:AQ60"/>
    <mergeCell ref="AR59:AR60"/>
    <mergeCell ref="A59:A60"/>
    <mergeCell ref="B59:B60"/>
    <mergeCell ref="C59:C60"/>
    <mergeCell ref="D59:D60"/>
    <mergeCell ref="E59:E60"/>
    <mergeCell ref="F59:F60"/>
    <mergeCell ref="AR61:AR62"/>
    <mergeCell ref="AS61:AS62"/>
    <mergeCell ref="AT57:AT58"/>
    <mergeCell ref="AU57:AU58"/>
    <mergeCell ref="AV57:AV58"/>
    <mergeCell ref="AW57:AW58"/>
    <mergeCell ref="F57:F58"/>
    <mergeCell ref="AM57:AM58"/>
    <mergeCell ref="AN57:AN58"/>
    <mergeCell ref="AO57:AO58"/>
    <mergeCell ref="AP57:AP58"/>
    <mergeCell ref="AQ57:AQ58"/>
    <mergeCell ref="AS55:AS56"/>
    <mergeCell ref="AT55:AT56"/>
    <mergeCell ref="AU55:AU56"/>
    <mergeCell ref="AV55:AV56"/>
    <mergeCell ref="AW55:AW56"/>
    <mergeCell ref="A57:A58"/>
    <mergeCell ref="B57:B58"/>
    <mergeCell ref="C57:C58"/>
    <mergeCell ref="D57:D58"/>
    <mergeCell ref="E57:E58"/>
    <mergeCell ref="AM55:AM56"/>
    <mergeCell ref="AN55:AN56"/>
    <mergeCell ref="AO55:AO56"/>
    <mergeCell ref="AP55:AP56"/>
    <mergeCell ref="AQ55:AQ56"/>
    <mergeCell ref="AR55:AR56"/>
    <mergeCell ref="A55:A56"/>
    <mergeCell ref="B55:B56"/>
    <mergeCell ref="C55:C56"/>
    <mergeCell ref="D55:D56"/>
    <mergeCell ref="E55:E56"/>
    <mergeCell ref="F55:F56"/>
    <mergeCell ref="AR57:AR58"/>
    <mergeCell ref="AS57:AS58"/>
    <mergeCell ref="AT53:AT54"/>
    <mergeCell ref="AU53:AU54"/>
    <mergeCell ref="AV53:AV54"/>
    <mergeCell ref="AW53:AW54"/>
    <mergeCell ref="F53:F54"/>
    <mergeCell ref="AM53:AM54"/>
    <mergeCell ref="AN53:AN54"/>
    <mergeCell ref="AO53:AO54"/>
    <mergeCell ref="AP53:AP54"/>
    <mergeCell ref="AQ53:AQ54"/>
    <mergeCell ref="AS51:AS52"/>
    <mergeCell ref="AT51:AT52"/>
    <mergeCell ref="AU51:AU52"/>
    <mergeCell ref="AV51:AV52"/>
    <mergeCell ref="AW51:AW52"/>
    <mergeCell ref="A53:A54"/>
    <mergeCell ref="B53:B54"/>
    <mergeCell ref="C53:C54"/>
    <mergeCell ref="D53:D54"/>
    <mergeCell ref="E53:E54"/>
    <mergeCell ref="AM51:AM52"/>
    <mergeCell ref="AN51:AN52"/>
    <mergeCell ref="AO51:AO52"/>
    <mergeCell ref="AP51:AP52"/>
    <mergeCell ref="AQ51:AQ52"/>
    <mergeCell ref="AR51:AR52"/>
    <mergeCell ref="A51:A52"/>
    <mergeCell ref="B51:B52"/>
    <mergeCell ref="C51:C52"/>
    <mergeCell ref="D51:D52"/>
    <mergeCell ref="E51:E52"/>
    <mergeCell ref="F51:F52"/>
    <mergeCell ref="AR53:AR54"/>
    <mergeCell ref="AS53:AS54"/>
    <mergeCell ref="AT49:AT50"/>
    <mergeCell ref="AU49:AU50"/>
    <mergeCell ref="AV49:AV50"/>
    <mergeCell ref="AW49:AW50"/>
    <mergeCell ref="F49:F50"/>
    <mergeCell ref="AM49:AM50"/>
    <mergeCell ref="AN49:AN50"/>
    <mergeCell ref="AO49:AO50"/>
    <mergeCell ref="AP49:AP50"/>
    <mergeCell ref="AQ49:AQ50"/>
    <mergeCell ref="AS47:AS48"/>
    <mergeCell ref="AT47:AT48"/>
    <mergeCell ref="AU47:AU48"/>
    <mergeCell ref="AV47:AV48"/>
    <mergeCell ref="AW47:AW48"/>
    <mergeCell ref="A49:A50"/>
    <mergeCell ref="B49:B50"/>
    <mergeCell ref="C49:C50"/>
    <mergeCell ref="D49:D50"/>
    <mergeCell ref="E49:E50"/>
    <mergeCell ref="AM47:AM48"/>
    <mergeCell ref="AN47:AN48"/>
    <mergeCell ref="AO47:AO48"/>
    <mergeCell ref="AP47:AP48"/>
    <mergeCell ref="AQ47:AQ48"/>
    <mergeCell ref="AR47:AR48"/>
    <mergeCell ref="A47:A48"/>
    <mergeCell ref="B47:B48"/>
    <mergeCell ref="C47:C48"/>
    <mergeCell ref="D47:D48"/>
    <mergeCell ref="E47:E48"/>
    <mergeCell ref="F47:F48"/>
    <mergeCell ref="AR49:AR50"/>
    <mergeCell ref="AS49:AS50"/>
    <mergeCell ref="AT45:AT46"/>
    <mergeCell ref="AU45:AU46"/>
    <mergeCell ref="AV45:AV46"/>
    <mergeCell ref="AW45:AW46"/>
    <mergeCell ref="F45:F46"/>
    <mergeCell ref="AM45:AM46"/>
    <mergeCell ref="AN45:AN46"/>
    <mergeCell ref="AO45:AO46"/>
    <mergeCell ref="AP45:AP46"/>
    <mergeCell ref="AQ45:AQ46"/>
    <mergeCell ref="AS43:AS44"/>
    <mergeCell ref="AT43:AT44"/>
    <mergeCell ref="AU43:AU44"/>
    <mergeCell ref="AV43:AV44"/>
    <mergeCell ref="AW43:AW44"/>
    <mergeCell ref="A45:A46"/>
    <mergeCell ref="B45:B46"/>
    <mergeCell ref="C45:C46"/>
    <mergeCell ref="D45:D46"/>
    <mergeCell ref="E45:E46"/>
    <mergeCell ref="AM43:AM44"/>
    <mergeCell ref="AN43:AN44"/>
    <mergeCell ref="AO43:AO44"/>
    <mergeCell ref="AP43:AP44"/>
    <mergeCell ref="AQ43:AQ44"/>
    <mergeCell ref="AR43:AR44"/>
    <mergeCell ref="A43:A44"/>
    <mergeCell ref="B43:B44"/>
    <mergeCell ref="C43:C44"/>
    <mergeCell ref="D43:D44"/>
    <mergeCell ref="E43:E44"/>
    <mergeCell ref="F43:F44"/>
    <mergeCell ref="AR45:AR46"/>
    <mergeCell ref="AS45:AS46"/>
    <mergeCell ref="AT41:AT42"/>
    <mergeCell ref="AU41:AU42"/>
    <mergeCell ref="AV41:AV42"/>
    <mergeCell ref="AW41:AW42"/>
    <mergeCell ref="F41:F42"/>
    <mergeCell ref="AM41:AM42"/>
    <mergeCell ref="AN41:AN42"/>
    <mergeCell ref="AO41:AO42"/>
    <mergeCell ref="AP41:AP42"/>
    <mergeCell ref="AQ41:AQ42"/>
    <mergeCell ref="AS39:AS40"/>
    <mergeCell ref="AT39:AT40"/>
    <mergeCell ref="AU39:AU40"/>
    <mergeCell ref="AV39:AV40"/>
    <mergeCell ref="AW39:AW40"/>
    <mergeCell ref="A41:A42"/>
    <mergeCell ref="B41:B42"/>
    <mergeCell ref="C41:C42"/>
    <mergeCell ref="D41:D42"/>
    <mergeCell ref="E41:E42"/>
    <mergeCell ref="AM39:AM40"/>
    <mergeCell ref="AN39:AN40"/>
    <mergeCell ref="AO39:AO40"/>
    <mergeCell ref="AP39:AP40"/>
    <mergeCell ref="AQ39:AQ40"/>
    <mergeCell ref="AR39:AR40"/>
    <mergeCell ref="A39:A40"/>
    <mergeCell ref="B39:B40"/>
    <mergeCell ref="C39:C40"/>
    <mergeCell ref="D39:D40"/>
    <mergeCell ref="E39:E40"/>
    <mergeCell ref="F39:F40"/>
    <mergeCell ref="AR41:AR42"/>
    <mergeCell ref="AS41:AS42"/>
    <mergeCell ref="AT37:AT38"/>
    <mergeCell ref="AU37:AU38"/>
    <mergeCell ref="AV37:AV38"/>
    <mergeCell ref="AW37:AW38"/>
    <mergeCell ref="F37:F38"/>
    <mergeCell ref="AM37:AM38"/>
    <mergeCell ref="AN37:AN38"/>
    <mergeCell ref="AO37:AO38"/>
    <mergeCell ref="AP37:AP38"/>
    <mergeCell ref="AQ37:AQ38"/>
    <mergeCell ref="AS35:AS36"/>
    <mergeCell ref="AT35:AT36"/>
    <mergeCell ref="AU35:AU36"/>
    <mergeCell ref="AV35:AV36"/>
    <mergeCell ref="AW35:AW36"/>
    <mergeCell ref="A37:A38"/>
    <mergeCell ref="B37:B38"/>
    <mergeCell ref="C37:C38"/>
    <mergeCell ref="D37:D38"/>
    <mergeCell ref="E37:E38"/>
    <mergeCell ref="AM35:AM36"/>
    <mergeCell ref="AN35:AN36"/>
    <mergeCell ref="AO35:AO36"/>
    <mergeCell ref="AP35:AP36"/>
    <mergeCell ref="AQ35:AQ36"/>
    <mergeCell ref="AR35:AR36"/>
    <mergeCell ref="A35:A36"/>
    <mergeCell ref="B35:B36"/>
    <mergeCell ref="C35:C36"/>
    <mergeCell ref="D35:D36"/>
    <mergeCell ref="E35:E36"/>
    <mergeCell ref="F35:F36"/>
    <mergeCell ref="AR37:AR38"/>
    <mergeCell ref="AS37:AS38"/>
    <mergeCell ref="AT33:AT34"/>
    <mergeCell ref="AU33:AU34"/>
    <mergeCell ref="AV33:AV34"/>
    <mergeCell ref="AW33:AW34"/>
    <mergeCell ref="F33:F34"/>
    <mergeCell ref="AM33:AM34"/>
    <mergeCell ref="AN33:AN34"/>
    <mergeCell ref="AO33:AO34"/>
    <mergeCell ref="AP33:AP34"/>
    <mergeCell ref="AQ33:AQ34"/>
    <mergeCell ref="AS31:AS32"/>
    <mergeCell ref="AT31:AT32"/>
    <mergeCell ref="AU31:AU32"/>
    <mergeCell ref="AV31:AV32"/>
    <mergeCell ref="AW31:AW32"/>
    <mergeCell ref="A33:A34"/>
    <mergeCell ref="B33:B34"/>
    <mergeCell ref="C33:C34"/>
    <mergeCell ref="D33:D34"/>
    <mergeCell ref="E33:E34"/>
    <mergeCell ref="AM31:AM32"/>
    <mergeCell ref="AN31:AN32"/>
    <mergeCell ref="AO31:AO32"/>
    <mergeCell ref="AP31:AP32"/>
    <mergeCell ref="AQ31:AQ32"/>
    <mergeCell ref="AR31:AR32"/>
    <mergeCell ref="A31:A32"/>
    <mergeCell ref="B31:B32"/>
    <mergeCell ref="C31:C32"/>
    <mergeCell ref="D31:D32"/>
    <mergeCell ref="E31:E32"/>
    <mergeCell ref="F31:F32"/>
    <mergeCell ref="AR33:AR34"/>
    <mergeCell ref="AS33:AS34"/>
    <mergeCell ref="AT29:AT30"/>
    <mergeCell ref="AU29:AU30"/>
    <mergeCell ref="AV29:AV30"/>
    <mergeCell ref="AW29:AW30"/>
    <mergeCell ref="F29:F30"/>
    <mergeCell ref="AM29:AM30"/>
    <mergeCell ref="AN29:AN30"/>
    <mergeCell ref="AO29:AO30"/>
    <mergeCell ref="AP29:AP30"/>
    <mergeCell ref="AQ29:AQ30"/>
    <mergeCell ref="AS27:AS28"/>
    <mergeCell ref="AT27:AT28"/>
    <mergeCell ref="AU27:AU28"/>
    <mergeCell ref="AV27:AV28"/>
    <mergeCell ref="AW27:AW28"/>
    <mergeCell ref="A29:A30"/>
    <mergeCell ref="B29:B30"/>
    <mergeCell ref="C29:C30"/>
    <mergeCell ref="D29:D30"/>
    <mergeCell ref="E29:E30"/>
    <mergeCell ref="AM27:AM28"/>
    <mergeCell ref="AN27:AN28"/>
    <mergeCell ref="AO27:AO28"/>
    <mergeCell ref="AP27:AP28"/>
    <mergeCell ref="AQ27:AQ28"/>
    <mergeCell ref="AR27:AR28"/>
    <mergeCell ref="A27:A28"/>
    <mergeCell ref="B27:B28"/>
    <mergeCell ref="C27:C28"/>
    <mergeCell ref="D27:D28"/>
    <mergeCell ref="E27:E28"/>
    <mergeCell ref="F27:F28"/>
    <mergeCell ref="AR29:AR30"/>
    <mergeCell ref="AS29:AS30"/>
    <mergeCell ref="AT25:AT26"/>
    <mergeCell ref="AU25:AU26"/>
    <mergeCell ref="AV25:AV26"/>
    <mergeCell ref="AW25:AW26"/>
    <mergeCell ref="F25:F26"/>
    <mergeCell ref="AM25:AM26"/>
    <mergeCell ref="AN25:AN26"/>
    <mergeCell ref="AO25:AO26"/>
    <mergeCell ref="AP25:AP26"/>
    <mergeCell ref="AQ25:AQ26"/>
    <mergeCell ref="AS23:AS24"/>
    <mergeCell ref="AT23:AT24"/>
    <mergeCell ref="AU23:AU24"/>
    <mergeCell ref="AV23:AV24"/>
    <mergeCell ref="AW23:AW24"/>
    <mergeCell ref="A25:A26"/>
    <mergeCell ref="B25:B26"/>
    <mergeCell ref="C25:C26"/>
    <mergeCell ref="D25:D26"/>
    <mergeCell ref="E25:E26"/>
    <mergeCell ref="AM23:AM24"/>
    <mergeCell ref="AN23:AN24"/>
    <mergeCell ref="AO23:AO24"/>
    <mergeCell ref="AP23:AP24"/>
    <mergeCell ref="AQ23:AQ24"/>
    <mergeCell ref="AR23:AR24"/>
    <mergeCell ref="A23:A24"/>
    <mergeCell ref="B23:B24"/>
    <mergeCell ref="C23:C24"/>
    <mergeCell ref="D23:D24"/>
    <mergeCell ref="E23:E24"/>
    <mergeCell ref="F23:F24"/>
    <mergeCell ref="AR25:AR26"/>
    <mergeCell ref="AS25:AS26"/>
    <mergeCell ref="AT21:AT22"/>
    <mergeCell ref="AU21:AU22"/>
    <mergeCell ref="AV21:AV22"/>
    <mergeCell ref="AW21:AW22"/>
    <mergeCell ref="F21:F22"/>
    <mergeCell ref="AM21:AM22"/>
    <mergeCell ref="AN21:AN22"/>
    <mergeCell ref="AO21:AO22"/>
    <mergeCell ref="AP21:AP22"/>
    <mergeCell ref="AQ21:AQ22"/>
    <mergeCell ref="AS19:AS20"/>
    <mergeCell ref="AT19:AT20"/>
    <mergeCell ref="AU19:AU20"/>
    <mergeCell ref="AV19:AV20"/>
    <mergeCell ref="AW19:AW20"/>
    <mergeCell ref="A21:A22"/>
    <mergeCell ref="B21:B22"/>
    <mergeCell ref="C21:C22"/>
    <mergeCell ref="D21:D22"/>
    <mergeCell ref="E21:E22"/>
    <mergeCell ref="AM19:AM20"/>
    <mergeCell ref="AN19:AN20"/>
    <mergeCell ref="AO19:AO20"/>
    <mergeCell ref="AP19:AP20"/>
    <mergeCell ref="AQ19:AQ20"/>
    <mergeCell ref="AR19:AR20"/>
    <mergeCell ref="A19:A20"/>
    <mergeCell ref="B19:B20"/>
    <mergeCell ref="C19:C20"/>
    <mergeCell ref="D19:D20"/>
    <mergeCell ref="E19:E20"/>
    <mergeCell ref="F19:F20"/>
    <mergeCell ref="AR21:AR22"/>
    <mergeCell ref="AS21:AS22"/>
    <mergeCell ref="AT17:AT18"/>
    <mergeCell ref="AU17:AU18"/>
    <mergeCell ref="AV17:AV18"/>
    <mergeCell ref="AW17:AW18"/>
    <mergeCell ref="F17:F18"/>
    <mergeCell ref="AM17:AM18"/>
    <mergeCell ref="AN17:AN18"/>
    <mergeCell ref="AO17:AO18"/>
    <mergeCell ref="AP17:AP18"/>
    <mergeCell ref="AQ17:AQ18"/>
    <mergeCell ref="AS15:AS16"/>
    <mergeCell ref="AT15:AT16"/>
    <mergeCell ref="AU15:AU16"/>
    <mergeCell ref="AV15:AV16"/>
    <mergeCell ref="AW15:AW16"/>
    <mergeCell ref="A17:A18"/>
    <mergeCell ref="B17:B18"/>
    <mergeCell ref="C17:C18"/>
    <mergeCell ref="D17:D18"/>
    <mergeCell ref="E17:E18"/>
    <mergeCell ref="AM15:AM16"/>
    <mergeCell ref="AN15:AN16"/>
    <mergeCell ref="AO15:AO16"/>
    <mergeCell ref="AP15:AP16"/>
    <mergeCell ref="AQ15:AQ16"/>
    <mergeCell ref="AR15:AR16"/>
    <mergeCell ref="A15:A16"/>
    <mergeCell ref="B15:B16"/>
    <mergeCell ref="C15:C16"/>
    <mergeCell ref="D15:D16"/>
    <mergeCell ref="E15:E16"/>
    <mergeCell ref="F15:F16"/>
    <mergeCell ref="AR17:AR18"/>
    <mergeCell ref="AS17:AS18"/>
    <mergeCell ref="AT13:AT14"/>
    <mergeCell ref="AU13:AU14"/>
    <mergeCell ref="AV13:AV14"/>
    <mergeCell ref="AW13:AW14"/>
    <mergeCell ref="F13:F14"/>
    <mergeCell ref="AM13:AM14"/>
    <mergeCell ref="AN13:AN14"/>
    <mergeCell ref="AO13:AO14"/>
    <mergeCell ref="AP13:AP14"/>
    <mergeCell ref="AQ13:AQ14"/>
    <mergeCell ref="AS11:AS12"/>
    <mergeCell ref="AT11:AT12"/>
    <mergeCell ref="AU11:AU12"/>
    <mergeCell ref="AV11:AV12"/>
    <mergeCell ref="AW11:AW12"/>
    <mergeCell ref="A13:A14"/>
    <mergeCell ref="B13:B14"/>
    <mergeCell ref="C13:C14"/>
    <mergeCell ref="D13:D14"/>
    <mergeCell ref="E13:E14"/>
    <mergeCell ref="AM11:AM12"/>
    <mergeCell ref="AN11:AN12"/>
    <mergeCell ref="AO11:AO12"/>
    <mergeCell ref="AP11:AP12"/>
    <mergeCell ref="AQ11:AQ12"/>
    <mergeCell ref="AR11:AR12"/>
    <mergeCell ref="A11:A12"/>
    <mergeCell ref="B11:B12"/>
    <mergeCell ref="C11:C12"/>
    <mergeCell ref="D11:D12"/>
    <mergeCell ref="E11:E12"/>
    <mergeCell ref="F11:F12"/>
    <mergeCell ref="AR13:AR14"/>
    <mergeCell ref="AS13:AS14"/>
    <mergeCell ref="AT9:AT10"/>
    <mergeCell ref="AU9:AU10"/>
    <mergeCell ref="AV9:AV10"/>
    <mergeCell ref="AW9:AW10"/>
    <mergeCell ref="F9:F10"/>
    <mergeCell ref="AM9:AM10"/>
    <mergeCell ref="AN9:AN10"/>
    <mergeCell ref="AO9:AO10"/>
    <mergeCell ref="AP9:AP10"/>
    <mergeCell ref="AQ9:AQ10"/>
    <mergeCell ref="AS7:AS8"/>
    <mergeCell ref="AT7:AT8"/>
    <mergeCell ref="AU7:AU8"/>
    <mergeCell ref="AV7:AV8"/>
    <mergeCell ref="AW7:AW8"/>
    <mergeCell ref="A9:A10"/>
    <mergeCell ref="B9:B10"/>
    <mergeCell ref="C9:C10"/>
    <mergeCell ref="D9:D10"/>
    <mergeCell ref="E9:E10"/>
    <mergeCell ref="AM7:AM8"/>
    <mergeCell ref="AN7:AN8"/>
    <mergeCell ref="AO7:AO8"/>
    <mergeCell ref="AP7:AP8"/>
    <mergeCell ref="AQ7:AQ8"/>
    <mergeCell ref="AR7:AR8"/>
    <mergeCell ref="A7:A8"/>
    <mergeCell ref="B7:B8"/>
    <mergeCell ref="C7:C8"/>
    <mergeCell ref="D7:D8"/>
    <mergeCell ref="E7:E8"/>
    <mergeCell ref="F7:F8"/>
    <mergeCell ref="AR9:AR10"/>
    <mergeCell ref="AS9:AS10"/>
    <mergeCell ref="A2:B2"/>
    <mergeCell ref="H2:AL2"/>
    <mergeCell ref="G4:G5"/>
    <mergeCell ref="AM4:AO4"/>
    <mergeCell ref="AQ4:AS4"/>
    <mergeCell ref="AT4:AV4"/>
    <mergeCell ref="AW4:AW6"/>
    <mergeCell ref="AM5:AM6"/>
    <mergeCell ref="AN5:AN6"/>
    <mergeCell ref="AO5:AO6"/>
    <mergeCell ref="AQ5:AQ6"/>
    <mergeCell ref="AR5:AR6"/>
    <mergeCell ref="AS5:AS6"/>
    <mergeCell ref="AT5:AT6"/>
    <mergeCell ref="AU5:AU6"/>
    <mergeCell ref="AV5:AV6"/>
  </mergeCells>
  <conditionalFormatting sqref="H11:H22">
    <cfRule type="expression" dxfId="310" priority="264">
      <formula>H$5:AL$5="Sat"</formula>
    </cfRule>
    <cfRule type="expression" dxfId="309" priority="265">
      <formula>H$5:AL$5="Sun"</formula>
    </cfRule>
  </conditionalFormatting>
  <conditionalFormatting sqref="AO7:AP7 AM7 AM11:AO11 AM13:AO13 AM15:AO15 AM17:AO17 AM19:AO19 AM21:AO21 L11:AL22">
    <cfRule type="expression" dxfId="308" priority="266">
      <formula>L$5:AX$5="Sat"</formula>
    </cfRule>
    <cfRule type="expression" dxfId="307" priority="267">
      <formula>L$5:AX$5="Sun"</formula>
    </cfRule>
  </conditionalFormatting>
  <conditionalFormatting sqref="AO7:AP7 AM7 AM11:AO11 AM13:AO13 AM15:AO15 AM17:AO17 AM19:AO19 AM21:AO21 L11:AL22">
    <cfRule type="expression" dxfId="306" priority="268">
      <formula>L$5:AX$5="Sun"</formula>
    </cfRule>
  </conditionalFormatting>
  <conditionalFormatting sqref="AN7">
    <cfRule type="expression" dxfId="305" priority="258">
      <formula>AN$5:BZ$5="Sat"</formula>
    </cfRule>
    <cfRule type="expression" dxfId="304" priority="259">
      <formula>AN$5:BZ$5="Sun"</formula>
    </cfRule>
  </conditionalFormatting>
  <conditionalFormatting sqref="AN7">
    <cfRule type="expression" dxfId="303" priority="260">
      <formula>AN$5:BZ$5="Sun"</formula>
    </cfRule>
  </conditionalFormatting>
  <conditionalFormatting sqref="I11:K22">
    <cfRule type="expression" dxfId="302" priority="269">
      <formula>I$5:AQ$5="Sat"</formula>
    </cfRule>
    <cfRule type="expression" dxfId="301" priority="270">
      <formula>I$5:AQ$5="Sun"</formula>
    </cfRule>
  </conditionalFormatting>
  <conditionalFormatting sqref="J11:K22">
    <cfRule type="expression" dxfId="300" priority="271">
      <formula>J$5:AR$5="Sun"</formula>
    </cfRule>
  </conditionalFormatting>
  <conditionalFormatting sqref="AP11">
    <cfRule type="expression" dxfId="299" priority="246">
      <formula>AP$5:CB$5="Sat"</formula>
    </cfRule>
    <cfRule type="expression" dxfId="298" priority="247">
      <formula>AP$5:CB$5="Sun"</formula>
    </cfRule>
  </conditionalFormatting>
  <conditionalFormatting sqref="AP11">
    <cfRule type="expression" dxfId="297" priority="248">
      <formula>AP$5:CB$5="Sun"</formula>
    </cfRule>
  </conditionalFormatting>
  <conditionalFormatting sqref="AP13">
    <cfRule type="expression" dxfId="296" priority="243">
      <formula>AP$5:CB$5="Sat"</formula>
    </cfRule>
    <cfRule type="expression" dxfId="295" priority="244">
      <formula>AP$5:CB$5="Sun"</formula>
    </cfRule>
  </conditionalFormatting>
  <conditionalFormatting sqref="AP13">
    <cfRule type="expression" dxfId="294" priority="245">
      <formula>AP$5:CB$5="Sun"</formula>
    </cfRule>
  </conditionalFormatting>
  <conditionalFormatting sqref="AP15">
    <cfRule type="expression" dxfId="293" priority="240">
      <formula>AP$5:CB$5="Sat"</formula>
    </cfRule>
    <cfRule type="expression" dxfId="292" priority="241">
      <formula>AP$5:CB$5="Sun"</formula>
    </cfRule>
  </conditionalFormatting>
  <conditionalFormatting sqref="AP15">
    <cfRule type="expression" dxfId="291" priority="242">
      <formula>AP$5:CB$5="Sun"</formula>
    </cfRule>
  </conditionalFormatting>
  <conditionalFormatting sqref="AP17">
    <cfRule type="expression" dxfId="290" priority="237">
      <formula>AP$5:CB$5="Sat"</formula>
    </cfRule>
    <cfRule type="expression" dxfId="289" priority="238">
      <formula>AP$5:CB$5="Sun"</formula>
    </cfRule>
  </conditionalFormatting>
  <conditionalFormatting sqref="AP17">
    <cfRule type="expression" dxfId="288" priority="239">
      <formula>AP$5:CB$5="Sun"</formula>
    </cfRule>
  </conditionalFormatting>
  <conditionalFormatting sqref="AP19">
    <cfRule type="expression" dxfId="287" priority="234">
      <formula>AP$5:CB$5="Sat"</formula>
    </cfRule>
    <cfRule type="expression" dxfId="286" priority="235">
      <formula>AP$5:CB$5="Sun"</formula>
    </cfRule>
  </conditionalFormatting>
  <conditionalFormatting sqref="AP19">
    <cfRule type="expression" dxfId="285" priority="236">
      <formula>AP$5:CB$5="Sun"</formula>
    </cfRule>
  </conditionalFormatting>
  <conditionalFormatting sqref="AP21">
    <cfRule type="expression" dxfId="284" priority="231">
      <formula>AP$5:CB$5="Sat"</formula>
    </cfRule>
    <cfRule type="expression" dxfId="283" priority="232">
      <formula>AP$5:CB$5="Sun"</formula>
    </cfRule>
  </conditionalFormatting>
  <conditionalFormatting sqref="AP21">
    <cfRule type="expression" dxfId="282" priority="233">
      <formula>AP$5:CB$5="Sun"</formula>
    </cfRule>
  </conditionalFormatting>
  <conditionalFormatting sqref="H23:H26">
    <cfRule type="expression" dxfId="281" priority="223">
      <formula>H$5:AL$5="Sat"</formula>
    </cfRule>
    <cfRule type="expression" dxfId="280" priority="224">
      <formula>H$5:AL$5="Sun"</formula>
    </cfRule>
  </conditionalFormatting>
  <conditionalFormatting sqref="AM23:AO23 AM25:AO25 L23:AL26">
    <cfRule type="expression" dxfId="279" priority="225">
      <formula>L$5:AX$5="Sat"</formula>
    </cfRule>
    <cfRule type="expression" dxfId="278" priority="226">
      <formula>L$5:AX$5="Sun"</formula>
    </cfRule>
  </conditionalFormatting>
  <conditionalFormatting sqref="AM23:AO23 AM25:AO25 L23:AL26">
    <cfRule type="expression" dxfId="277" priority="227">
      <formula>L$5:AX$5="Sun"</formula>
    </cfRule>
  </conditionalFormatting>
  <conditionalFormatting sqref="I23:K26">
    <cfRule type="expression" dxfId="276" priority="228">
      <formula>I$5:AQ$5="Sat"</formula>
    </cfRule>
    <cfRule type="expression" dxfId="275" priority="229">
      <formula>I$5:AQ$5="Sun"</formula>
    </cfRule>
  </conditionalFormatting>
  <conditionalFormatting sqref="J23:K26">
    <cfRule type="expression" dxfId="274" priority="230">
      <formula>J$5:AR$5="Sun"</formula>
    </cfRule>
  </conditionalFormatting>
  <conditionalFormatting sqref="AP23">
    <cfRule type="expression" dxfId="273" priority="220">
      <formula>AP$5:CB$5="Sat"</formula>
    </cfRule>
    <cfRule type="expression" dxfId="272" priority="221">
      <formula>AP$5:CB$5="Sun"</formula>
    </cfRule>
  </conditionalFormatting>
  <conditionalFormatting sqref="AP23">
    <cfRule type="expression" dxfId="271" priority="222">
      <formula>AP$5:CB$5="Sun"</formula>
    </cfRule>
  </conditionalFormatting>
  <conditionalFormatting sqref="AP25">
    <cfRule type="expression" dxfId="270" priority="217">
      <formula>AP$5:CB$5="Sat"</formula>
    </cfRule>
    <cfRule type="expression" dxfId="269" priority="218">
      <formula>AP$5:CB$5="Sun"</formula>
    </cfRule>
  </conditionalFormatting>
  <conditionalFormatting sqref="AP25">
    <cfRule type="expression" dxfId="268" priority="219">
      <formula>AP$5:CB$5="Sun"</formula>
    </cfRule>
  </conditionalFormatting>
  <conditionalFormatting sqref="AP67">
    <cfRule type="expression" dxfId="267" priority="42">
      <formula>AP$5:CB$5="Sat"</formula>
    </cfRule>
    <cfRule type="expression" dxfId="266" priority="43">
      <formula>AP$5:CB$5="Sun"</formula>
    </cfRule>
  </conditionalFormatting>
  <conditionalFormatting sqref="AP67">
    <cfRule type="expression" dxfId="265" priority="44">
      <formula>AP$5:CB$5="Sun"</formula>
    </cfRule>
  </conditionalFormatting>
  <conditionalFormatting sqref="H27:H28">
    <cfRule type="expression" dxfId="264" priority="209">
      <formula>H$5:AL$5="Sat"</formula>
    </cfRule>
    <cfRule type="expression" dxfId="263" priority="210">
      <formula>H$5:AL$5="Sun"</formula>
    </cfRule>
  </conditionalFormatting>
  <conditionalFormatting sqref="L27:AL28 AM27:AO27">
    <cfRule type="expression" dxfId="262" priority="211">
      <formula>L$5:AX$5="Sat"</formula>
    </cfRule>
    <cfRule type="expression" dxfId="261" priority="212">
      <formula>L$5:AX$5="Sun"</formula>
    </cfRule>
  </conditionalFormatting>
  <conditionalFormatting sqref="L27:AL28 AM27:AO27">
    <cfRule type="expression" dxfId="260" priority="213">
      <formula>L$5:AX$5="Sun"</formula>
    </cfRule>
  </conditionalFormatting>
  <conditionalFormatting sqref="I27:K28">
    <cfRule type="expression" dxfId="259" priority="214">
      <formula>I$5:AQ$5="Sat"</formula>
    </cfRule>
    <cfRule type="expression" dxfId="258" priority="215">
      <formula>I$5:AQ$5="Sun"</formula>
    </cfRule>
  </conditionalFormatting>
  <conditionalFormatting sqref="J27:K28">
    <cfRule type="expression" dxfId="257" priority="216">
      <formula>J$5:AR$5="Sun"</formula>
    </cfRule>
  </conditionalFormatting>
  <conditionalFormatting sqref="AP27">
    <cfRule type="expression" dxfId="256" priority="206">
      <formula>AP$5:CB$5="Sat"</formula>
    </cfRule>
    <cfRule type="expression" dxfId="255" priority="207">
      <formula>AP$5:CB$5="Sun"</formula>
    </cfRule>
  </conditionalFormatting>
  <conditionalFormatting sqref="AP27">
    <cfRule type="expression" dxfId="254" priority="208">
      <formula>AP$5:CB$5="Sun"</formula>
    </cfRule>
  </conditionalFormatting>
  <conditionalFormatting sqref="H29:H32">
    <cfRule type="expression" dxfId="253" priority="198">
      <formula>H$5:AL$5="Sat"</formula>
    </cfRule>
    <cfRule type="expression" dxfId="252" priority="199">
      <formula>H$5:AL$5="Sun"</formula>
    </cfRule>
  </conditionalFormatting>
  <conditionalFormatting sqref="AM29:AO29 AM31:AO31 L29:AL32">
    <cfRule type="expression" dxfId="251" priority="200">
      <formula>L$5:AX$5="Sat"</formula>
    </cfRule>
    <cfRule type="expression" dxfId="250" priority="201">
      <formula>L$5:AX$5="Sun"</formula>
    </cfRule>
  </conditionalFormatting>
  <conditionalFormatting sqref="AM29:AO29 AM31:AO31 L29:AL32">
    <cfRule type="expression" dxfId="249" priority="202">
      <formula>L$5:AX$5="Sun"</formula>
    </cfRule>
  </conditionalFormatting>
  <conditionalFormatting sqref="I29:K32">
    <cfRule type="expression" dxfId="248" priority="203">
      <formula>I$5:AQ$5="Sat"</formula>
    </cfRule>
    <cfRule type="expression" dxfId="247" priority="204">
      <formula>I$5:AQ$5="Sun"</formula>
    </cfRule>
  </conditionalFormatting>
  <conditionalFormatting sqref="J29:K32">
    <cfRule type="expression" dxfId="246" priority="205">
      <formula>J$5:AR$5="Sun"</formula>
    </cfRule>
  </conditionalFormatting>
  <conditionalFormatting sqref="AP29">
    <cfRule type="expression" dxfId="245" priority="195">
      <formula>AP$5:CB$5="Sat"</formula>
    </cfRule>
    <cfRule type="expression" dxfId="244" priority="196">
      <formula>AP$5:CB$5="Sun"</formula>
    </cfRule>
  </conditionalFormatting>
  <conditionalFormatting sqref="AP29">
    <cfRule type="expression" dxfId="243" priority="197">
      <formula>AP$5:CB$5="Sun"</formula>
    </cfRule>
  </conditionalFormatting>
  <conditionalFormatting sqref="AP31">
    <cfRule type="expression" dxfId="242" priority="192">
      <formula>AP$5:CB$5="Sat"</formula>
    </cfRule>
    <cfRule type="expression" dxfId="241" priority="193">
      <formula>AP$5:CB$5="Sun"</formula>
    </cfRule>
  </conditionalFormatting>
  <conditionalFormatting sqref="AP31">
    <cfRule type="expression" dxfId="240" priority="194">
      <formula>AP$5:CB$5="Sun"</formula>
    </cfRule>
  </conditionalFormatting>
  <conditionalFormatting sqref="H33:H34">
    <cfRule type="expression" dxfId="239" priority="184">
      <formula>H$5:AL$5="Sat"</formula>
    </cfRule>
    <cfRule type="expression" dxfId="238" priority="185">
      <formula>H$5:AL$5="Sun"</formula>
    </cfRule>
  </conditionalFormatting>
  <conditionalFormatting sqref="L33:AL34 AM33:AO33">
    <cfRule type="expression" dxfId="237" priority="186">
      <formula>L$5:AX$5="Sat"</formula>
    </cfRule>
    <cfRule type="expression" dxfId="236" priority="187">
      <formula>L$5:AX$5="Sun"</formula>
    </cfRule>
  </conditionalFormatting>
  <conditionalFormatting sqref="L33:AL34 AM33:AO33">
    <cfRule type="expression" dxfId="235" priority="188">
      <formula>L$5:AX$5="Sun"</formula>
    </cfRule>
  </conditionalFormatting>
  <conditionalFormatting sqref="I33:K34">
    <cfRule type="expression" dxfId="234" priority="189">
      <formula>I$5:AQ$5="Sat"</formula>
    </cfRule>
    <cfRule type="expression" dxfId="233" priority="190">
      <formula>I$5:AQ$5="Sun"</formula>
    </cfRule>
  </conditionalFormatting>
  <conditionalFormatting sqref="J33:K34">
    <cfRule type="expression" dxfId="232" priority="191">
      <formula>J$5:AR$5="Sun"</formula>
    </cfRule>
  </conditionalFormatting>
  <conditionalFormatting sqref="AP33">
    <cfRule type="expression" dxfId="231" priority="181">
      <formula>AP$5:CB$5="Sat"</formula>
    </cfRule>
    <cfRule type="expression" dxfId="230" priority="182">
      <formula>AP$5:CB$5="Sun"</formula>
    </cfRule>
  </conditionalFormatting>
  <conditionalFormatting sqref="AP33">
    <cfRule type="expression" dxfId="229" priority="183">
      <formula>AP$5:CB$5="Sun"</formula>
    </cfRule>
  </conditionalFormatting>
  <conditionalFormatting sqref="H35:H38">
    <cfRule type="expression" dxfId="228" priority="173">
      <formula>H$5:AL$5="Sat"</formula>
    </cfRule>
    <cfRule type="expression" dxfId="227" priority="174">
      <formula>H$5:AL$5="Sun"</formula>
    </cfRule>
  </conditionalFormatting>
  <conditionalFormatting sqref="AM35:AO35 AM37:AO37 L35:AL38">
    <cfRule type="expression" dxfId="226" priority="175">
      <formula>L$5:AX$5="Sat"</formula>
    </cfRule>
    <cfRule type="expression" dxfId="225" priority="176">
      <formula>L$5:AX$5="Sun"</formula>
    </cfRule>
  </conditionalFormatting>
  <conditionalFormatting sqref="AM35:AO35 AM37:AO37 L35:AL38">
    <cfRule type="expression" dxfId="224" priority="177">
      <formula>L$5:AX$5="Sun"</formula>
    </cfRule>
  </conditionalFormatting>
  <conditionalFormatting sqref="I35:K38">
    <cfRule type="expression" dxfId="223" priority="178">
      <formula>I$5:AQ$5="Sat"</formula>
    </cfRule>
    <cfRule type="expression" dxfId="222" priority="179">
      <formula>I$5:AQ$5="Sun"</formula>
    </cfRule>
  </conditionalFormatting>
  <conditionalFormatting sqref="J35:K38">
    <cfRule type="expression" dxfId="221" priority="180">
      <formula>J$5:AR$5="Sun"</formula>
    </cfRule>
  </conditionalFormatting>
  <conditionalFormatting sqref="AP35">
    <cfRule type="expression" dxfId="220" priority="170">
      <formula>AP$5:CB$5="Sat"</formula>
    </cfRule>
    <cfRule type="expression" dxfId="219" priority="171">
      <formula>AP$5:CB$5="Sun"</formula>
    </cfRule>
  </conditionalFormatting>
  <conditionalFormatting sqref="AP35">
    <cfRule type="expression" dxfId="218" priority="172">
      <formula>AP$5:CB$5="Sun"</formula>
    </cfRule>
  </conditionalFormatting>
  <conditionalFormatting sqref="AP37">
    <cfRule type="expression" dxfId="217" priority="167">
      <formula>AP$5:CB$5="Sat"</formula>
    </cfRule>
    <cfRule type="expression" dxfId="216" priority="168">
      <formula>AP$5:CB$5="Sun"</formula>
    </cfRule>
  </conditionalFormatting>
  <conditionalFormatting sqref="AP37">
    <cfRule type="expression" dxfId="215" priority="169">
      <formula>AP$5:CB$5="Sun"</formula>
    </cfRule>
  </conditionalFormatting>
  <conditionalFormatting sqref="H39:H40">
    <cfRule type="expression" dxfId="214" priority="159">
      <formula>H$5:AL$5="Sat"</formula>
    </cfRule>
    <cfRule type="expression" dxfId="213" priority="160">
      <formula>H$5:AL$5="Sun"</formula>
    </cfRule>
  </conditionalFormatting>
  <conditionalFormatting sqref="L39:AL40 AM39:AO39">
    <cfRule type="expression" dxfId="212" priority="161">
      <formula>L$5:AX$5="Sat"</formula>
    </cfRule>
    <cfRule type="expression" dxfId="211" priority="162">
      <formula>L$5:AX$5="Sun"</formula>
    </cfRule>
  </conditionalFormatting>
  <conditionalFormatting sqref="L39:AL40 AM39:AO39">
    <cfRule type="expression" dxfId="210" priority="163">
      <formula>L$5:AX$5="Sun"</formula>
    </cfRule>
  </conditionalFormatting>
  <conditionalFormatting sqref="I39:K40">
    <cfRule type="expression" dxfId="209" priority="164">
      <formula>I$5:AQ$5="Sat"</formula>
    </cfRule>
    <cfRule type="expression" dxfId="208" priority="165">
      <formula>I$5:AQ$5="Sun"</formula>
    </cfRule>
  </conditionalFormatting>
  <conditionalFormatting sqref="J39:K40">
    <cfRule type="expression" dxfId="207" priority="166">
      <formula>J$5:AR$5="Sun"</formula>
    </cfRule>
  </conditionalFormatting>
  <conditionalFormatting sqref="AP39">
    <cfRule type="expression" dxfId="206" priority="156">
      <formula>AP$5:CB$5="Sat"</formula>
    </cfRule>
    <cfRule type="expression" dxfId="205" priority="157">
      <formula>AP$5:CB$5="Sun"</formula>
    </cfRule>
  </conditionalFormatting>
  <conditionalFormatting sqref="AP39">
    <cfRule type="expression" dxfId="204" priority="158">
      <formula>AP$5:CB$5="Sun"</formula>
    </cfRule>
  </conditionalFormatting>
  <conditionalFormatting sqref="H41:H44">
    <cfRule type="expression" dxfId="203" priority="148">
      <formula>H$5:AL$5="Sat"</formula>
    </cfRule>
    <cfRule type="expression" dxfId="202" priority="149">
      <formula>H$5:AL$5="Sun"</formula>
    </cfRule>
  </conditionalFormatting>
  <conditionalFormatting sqref="AM41:AO41 AM43:AO43 L41:AL44">
    <cfRule type="expression" dxfId="201" priority="150">
      <formula>L$5:AX$5="Sat"</formula>
    </cfRule>
    <cfRule type="expression" dxfId="200" priority="151">
      <formula>L$5:AX$5="Sun"</formula>
    </cfRule>
  </conditionalFormatting>
  <conditionalFormatting sqref="AM41:AO41 AM43:AO43 L41:AL44">
    <cfRule type="expression" dxfId="199" priority="152">
      <formula>L$5:AX$5="Sun"</formula>
    </cfRule>
  </conditionalFormatting>
  <conditionalFormatting sqref="I41:K44">
    <cfRule type="expression" dxfId="198" priority="153">
      <formula>I$5:AQ$5="Sat"</formula>
    </cfRule>
    <cfRule type="expression" dxfId="197" priority="154">
      <formula>I$5:AQ$5="Sun"</formula>
    </cfRule>
  </conditionalFormatting>
  <conditionalFormatting sqref="J41:K44">
    <cfRule type="expression" dxfId="196" priority="155">
      <formula>J$5:AR$5="Sun"</formula>
    </cfRule>
  </conditionalFormatting>
  <conditionalFormatting sqref="AP41">
    <cfRule type="expression" dxfId="195" priority="145">
      <formula>AP$5:CB$5="Sat"</formula>
    </cfRule>
    <cfRule type="expression" dxfId="194" priority="146">
      <formula>AP$5:CB$5="Sun"</formula>
    </cfRule>
  </conditionalFormatting>
  <conditionalFormatting sqref="AP41">
    <cfRule type="expression" dxfId="193" priority="147">
      <formula>AP$5:CB$5="Sun"</formula>
    </cfRule>
  </conditionalFormatting>
  <conditionalFormatting sqref="AP43">
    <cfRule type="expression" dxfId="192" priority="142">
      <formula>AP$5:CB$5="Sat"</formula>
    </cfRule>
    <cfRule type="expression" dxfId="191" priority="143">
      <formula>AP$5:CB$5="Sun"</formula>
    </cfRule>
  </conditionalFormatting>
  <conditionalFormatting sqref="AP43">
    <cfRule type="expression" dxfId="190" priority="144">
      <formula>AP$5:CB$5="Sun"</formula>
    </cfRule>
  </conditionalFormatting>
  <conditionalFormatting sqref="H45:H46">
    <cfRule type="expression" dxfId="189" priority="134">
      <formula>H$5:AL$5="Sat"</formula>
    </cfRule>
    <cfRule type="expression" dxfId="188" priority="135">
      <formula>H$5:AL$5="Sun"</formula>
    </cfRule>
  </conditionalFormatting>
  <conditionalFormatting sqref="L45:AL46 AM45:AO45">
    <cfRule type="expression" dxfId="187" priority="136">
      <formula>L$5:AX$5="Sat"</formula>
    </cfRule>
    <cfRule type="expression" dxfId="186" priority="137">
      <formula>L$5:AX$5="Sun"</formula>
    </cfRule>
  </conditionalFormatting>
  <conditionalFormatting sqref="L45:AL46 AM45:AO45">
    <cfRule type="expression" dxfId="185" priority="138">
      <formula>L$5:AX$5="Sun"</formula>
    </cfRule>
  </conditionalFormatting>
  <conditionalFormatting sqref="I45:K46">
    <cfRule type="expression" dxfId="184" priority="139">
      <formula>I$5:AQ$5="Sat"</formula>
    </cfRule>
    <cfRule type="expression" dxfId="183" priority="140">
      <formula>I$5:AQ$5="Sun"</formula>
    </cfRule>
  </conditionalFormatting>
  <conditionalFormatting sqref="J45:K46">
    <cfRule type="expression" dxfId="182" priority="141">
      <formula>J$5:AR$5="Sun"</formula>
    </cfRule>
  </conditionalFormatting>
  <conditionalFormatting sqref="AP45">
    <cfRule type="expression" dxfId="181" priority="131">
      <formula>AP$5:CB$5="Sat"</formula>
    </cfRule>
    <cfRule type="expression" dxfId="180" priority="132">
      <formula>AP$5:CB$5="Sun"</formula>
    </cfRule>
  </conditionalFormatting>
  <conditionalFormatting sqref="AP45">
    <cfRule type="expression" dxfId="179" priority="133">
      <formula>AP$5:CB$5="Sun"</formula>
    </cfRule>
  </conditionalFormatting>
  <conditionalFormatting sqref="H47:H50">
    <cfRule type="expression" dxfId="178" priority="123">
      <formula>H$5:AL$5="Sat"</formula>
    </cfRule>
    <cfRule type="expression" dxfId="177" priority="124">
      <formula>H$5:AL$5="Sun"</formula>
    </cfRule>
  </conditionalFormatting>
  <conditionalFormatting sqref="AM47:AO47 AM49:AO49 L47:AL50">
    <cfRule type="expression" dxfId="176" priority="125">
      <formula>L$5:AX$5="Sat"</formula>
    </cfRule>
    <cfRule type="expression" dxfId="175" priority="126">
      <formula>L$5:AX$5="Sun"</formula>
    </cfRule>
  </conditionalFormatting>
  <conditionalFormatting sqref="AM47:AO47 AM49:AO49 L47:AL50">
    <cfRule type="expression" dxfId="174" priority="127">
      <formula>L$5:AX$5="Sun"</formula>
    </cfRule>
  </conditionalFormatting>
  <conditionalFormatting sqref="I47:K50">
    <cfRule type="expression" dxfId="173" priority="128">
      <formula>I$5:AQ$5="Sat"</formula>
    </cfRule>
    <cfRule type="expression" dxfId="172" priority="129">
      <formula>I$5:AQ$5="Sun"</formula>
    </cfRule>
  </conditionalFormatting>
  <conditionalFormatting sqref="J47:K50">
    <cfRule type="expression" dxfId="171" priority="130">
      <formula>J$5:AR$5="Sun"</formula>
    </cfRule>
  </conditionalFormatting>
  <conditionalFormatting sqref="AP47">
    <cfRule type="expression" dxfId="170" priority="120">
      <formula>AP$5:CB$5="Sat"</formula>
    </cfRule>
    <cfRule type="expression" dxfId="169" priority="121">
      <formula>AP$5:CB$5="Sun"</formula>
    </cfRule>
  </conditionalFormatting>
  <conditionalFormatting sqref="AP47">
    <cfRule type="expression" dxfId="168" priority="122">
      <formula>AP$5:CB$5="Sun"</formula>
    </cfRule>
  </conditionalFormatting>
  <conditionalFormatting sqref="AP49">
    <cfRule type="expression" dxfId="167" priority="117">
      <formula>AP$5:CB$5="Sat"</formula>
    </cfRule>
    <cfRule type="expression" dxfId="166" priority="118">
      <formula>AP$5:CB$5="Sun"</formula>
    </cfRule>
  </conditionalFormatting>
  <conditionalFormatting sqref="AP49">
    <cfRule type="expression" dxfId="165" priority="119">
      <formula>AP$5:CB$5="Sun"</formula>
    </cfRule>
  </conditionalFormatting>
  <conditionalFormatting sqref="H51:H52">
    <cfRule type="expression" dxfId="164" priority="109">
      <formula>H$5:AL$5="Sat"</formula>
    </cfRule>
    <cfRule type="expression" dxfId="163" priority="110">
      <formula>H$5:AL$5="Sun"</formula>
    </cfRule>
  </conditionalFormatting>
  <conditionalFormatting sqref="L51:AL52 AM51:AO51">
    <cfRule type="expression" dxfId="162" priority="111">
      <formula>L$5:AX$5="Sat"</formula>
    </cfRule>
    <cfRule type="expression" dxfId="161" priority="112">
      <formula>L$5:AX$5="Sun"</formula>
    </cfRule>
  </conditionalFormatting>
  <conditionalFormatting sqref="L51:AL52 AM51:AO51">
    <cfRule type="expression" dxfId="160" priority="113">
      <formula>L$5:AX$5="Sun"</formula>
    </cfRule>
  </conditionalFormatting>
  <conditionalFormatting sqref="I51:K52">
    <cfRule type="expression" dxfId="159" priority="114">
      <formula>I$5:AQ$5="Sat"</formula>
    </cfRule>
    <cfRule type="expression" dxfId="158" priority="115">
      <formula>I$5:AQ$5="Sun"</formula>
    </cfRule>
  </conditionalFormatting>
  <conditionalFormatting sqref="J51:K52">
    <cfRule type="expression" dxfId="157" priority="116">
      <formula>J$5:AR$5="Sun"</formula>
    </cfRule>
  </conditionalFormatting>
  <conditionalFormatting sqref="AP51">
    <cfRule type="expression" dxfId="156" priority="106">
      <formula>AP$5:CB$5="Sat"</formula>
    </cfRule>
    <cfRule type="expression" dxfId="155" priority="107">
      <formula>AP$5:CB$5="Sun"</formula>
    </cfRule>
  </conditionalFormatting>
  <conditionalFormatting sqref="AP51">
    <cfRule type="expression" dxfId="154" priority="108">
      <formula>AP$5:CB$5="Sun"</formula>
    </cfRule>
  </conditionalFormatting>
  <conditionalFormatting sqref="H53:H56">
    <cfRule type="expression" dxfId="153" priority="98">
      <formula>H$5:AL$5="Sat"</formula>
    </cfRule>
    <cfRule type="expression" dxfId="152" priority="99">
      <formula>H$5:AL$5="Sun"</formula>
    </cfRule>
  </conditionalFormatting>
  <conditionalFormatting sqref="AM53:AO53 AM55:AO55 L53:AL56">
    <cfRule type="expression" dxfId="151" priority="100">
      <formula>L$5:AX$5="Sat"</formula>
    </cfRule>
    <cfRule type="expression" dxfId="150" priority="101">
      <formula>L$5:AX$5="Sun"</formula>
    </cfRule>
  </conditionalFormatting>
  <conditionalFormatting sqref="AM53:AO53 AM55:AO55 L53:AL56">
    <cfRule type="expression" dxfId="149" priority="102">
      <formula>L$5:AX$5="Sun"</formula>
    </cfRule>
  </conditionalFormatting>
  <conditionalFormatting sqref="I53:K56">
    <cfRule type="expression" dxfId="148" priority="103">
      <formula>I$5:AQ$5="Sat"</formula>
    </cfRule>
    <cfRule type="expression" dxfId="147" priority="104">
      <formula>I$5:AQ$5="Sun"</formula>
    </cfRule>
  </conditionalFormatting>
  <conditionalFormatting sqref="J53:K56">
    <cfRule type="expression" dxfId="146" priority="105">
      <formula>J$5:AR$5="Sun"</formula>
    </cfRule>
  </conditionalFormatting>
  <conditionalFormatting sqref="AP53">
    <cfRule type="expression" dxfId="145" priority="95">
      <formula>AP$5:CB$5="Sat"</formula>
    </cfRule>
    <cfRule type="expression" dxfId="144" priority="96">
      <formula>AP$5:CB$5="Sun"</formula>
    </cfRule>
  </conditionalFormatting>
  <conditionalFormatting sqref="AP53">
    <cfRule type="expression" dxfId="143" priority="97">
      <formula>AP$5:CB$5="Sun"</formula>
    </cfRule>
  </conditionalFormatting>
  <conditionalFormatting sqref="AP55">
    <cfRule type="expression" dxfId="142" priority="92">
      <formula>AP$5:CB$5="Sat"</formula>
    </cfRule>
    <cfRule type="expression" dxfId="141" priority="93">
      <formula>AP$5:CB$5="Sun"</formula>
    </cfRule>
  </conditionalFormatting>
  <conditionalFormatting sqref="AP55">
    <cfRule type="expression" dxfId="140" priority="94">
      <formula>AP$5:CB$5="Sun"</formula>
    </cfRule>
  </conditionalFormatting>
  <conditionalFormatting sqref="H57:H58">
    <cfRule type="expression" dxfId="139" priority="84">
      <formula>H$5:AL$5="Sat"</formula>
    </cfRule>
    <cfRule type="expression" dxfId="138" priority="85">
      <formula>H$5:AL$5="Sun"</formula>
    </cfRule>
  </conditionalFormatting>
  <conditionalFormatting sqref="L57:AL58 AM57:AO57">
    <cfRule type="expression" dxfId="137" priority="86">
      <formula>L$5:AX$5="Sat"</formula>
    </cfRule>
    <cfRule type="expression" dxfId="136" priority="87">
      <formula>L$5:AX$5="Sun"</formula>
    </cfRule>
  </conditionalFormatting>
  <conditionalFormatting sqref="L57:AL58 AM57:AO57">
    <cfRule type="expression" dxfId="135" priority="88">
      <formula>L$5:AX$5="Sun"</formula>
    </cfRule>
  </conditionalFormatting>
  <conditionalFormatting sqref="I57:K58">
    <cfRule type="expression" dxfId="134" priority="89">
      <formula>I$5:AQ$5="Sat"</formula>
    </cfRule>
    <cfRule type="expression" dxfId="133" priority="90">
      <formula>I$5:AQ$5="Sun"</formula>
    </cfRule>
  </conditionalFormatting>
  <conditionalFormatting sqref="J57:K58">
    <cfRule type="expression" dxfId="132" priority="91">
      <formula>J$5:AR$5="Sun"</formula>
    </cfRule>
  </conditionalFormatting>
  <conditionalFormatting sqref="AP57">
    <cfRule type="expression" dxfId="131" priority="81">
      <formula>AP$5:CB$5="Sat"</formula>
    </cfRule>
    <cfRule type="expression" dxfId="130" priority="82">
      <formula>AP$5:CB$5="Sun"</formula>
    </cfRule>
  </conditionalFormatting>
  <conditionalFormatting sqref="AP57">
    <cfRule type="expression" dxfId="129" priority="83">
      <formula>AP$5:CB$5="Sun"</formula>
    </cfRule>
  </conditionalFormatting>
  <conditionalFormatting sqref="H59:H62">
    <cfRule type="expression" dxfId="128" priority="73">
      <formula>H$5:AL$5="Sat"</formula>
    </cfRule>
    <cfRule type="expression" dxfId="127" priority="74">
      <formula>H$5:AL$5="Sun"</formula>
    </cfRule>
  </conditionalFormatting>
  <conditionalFormatting sqref="AM59:AO59 AM61:AO61 L59:AL62">
    <cfRule type="expression" dxfId="126" priority="75">
      <formula>L$5:AX$5="Sat"</formula>
    </cfRule>
    <cfRule type="expression" dxfId="125" priority="76">
      <formula>L$5:AX$5="Sun"</formula>
    </cfRule>
  </conditionalFormatting>
  <conditionalFormatting sqref="AM59:AO59 AM61:AO61 L59:AL62">
    <cfRule type="expression" dxfId="124" priority="77">
      <formula>L$5:AX$5="Sun"</formula>
    </cfRule>
  </conditionalFormatting>
  <conditionalFormatting sqref="I59:K62">
    <cfRule type="expression" dxfId="123" priority="78">
      <formula>I$5:AQ$5="Sat"</formula>
    </cfRule>
    <cfRule type="expression" dxfId="122" priority="79">
      <formula>I$5:AQ$5="Sun"</formula>
    </cfRule>
  </conditionalFormatting>
  <conditionalFormatting sqref="J59:K62">
    <cfRule type="expression" dxfId="121" priority="80">
      <formula>J$5:AR$5="Sun"</formula>
    </cfRule>
  </conditionalFormatting>
  <conditionalFormatting sqref="AP59">
    <cfRule type="expression" dxfId="120" priority="70">
      <formula>AP$5:CB$5="Sat"</formula>
    </cfRule>
    <cfRule type="expression" dxfId="119" priority="71">
      <formula>AP$5:CB$5="Sun"</formula>
    </cfRule>
  </conditionalFormatting>
  <conditionalFormatting sqref="AP59">
    <cfRule type="expression" dxfId="118" priority="72">
      <formula>AP$5:CB$5="Sun"</formula>
    </cfRule>
  </conditionalFormatting>
  <conditionalFormatting sqref="AP61">
    <cfRule type="expression" dxfId="117" priority="67">
      <formula>AP$5:CB$5="Sat"</formula>
    </cfRule>
    <cfRule type="expression" dxfId="116" priority="68">
      <formula>AP$5:CB$5="Sun"</formula>
    </cfRule>
  </conditionalFormatting>
  <conditionalFormatting sqref="AP61">
    <cfRule type="expression" dxfId="115" priority="69">
      <formula>AP$5:CB$5="Sun"</formula>
    </cfRule>
  </conditionalFormatting>
  <conditionalFormatting sqref="H63:H64">
    <cfRule type="expression" dxfId="114" priority="59">
      <formula>H$5:AL$5="Sat"</formula>
    </cfRule>
    <cfRule type="expression" dxfId="113" priority="60">
      <formula>H$5:AL$5="Sun"</formula>
    </cfRule>
  </conditionalFormatting>
  <conditionalFormatting sqref="L63:AL64 AM63:AO63">
    <cfRule type="expression" dxfId="112" priority="61">
      <formula>L$5:AX$5="Sat"</formula>
    </cfRule>
    <cfRule type="expression" dxfId="111" priority="62">
      <formula>L$5:AX$5="Sun"</formula>
    </cfRule>
  </conditionalFormatting>
  <conditionalFormatting sqref="L63:AL64 AM63:AO63">
    <cfRule type="expression" dxfId="110" priority="63">
      <formula>L$5:AX$5="Sun"</formula>
    </cfRule>
  </conditionalFormatting>
  <conditionalFormatting sqref="I63:K64">
    <cfRule type="expression" dxfId="109" priority="64">
      <formula>I$5:AQ$5="Sat"</formula>
    </cfRule>
    <cfRule type="expression" dxfId="108" priority="65">
      <formula>I$5:AQ$5="Sun"</formula>
    </cfRule>
  </conditionalFormatting>
  <conditionalFormatting sqref="J63:K64">
    <cfRule type="expression" dxfId="107" priority="66">
      <formula>J$5:AR$5="Sun"</formula>
    </cfRule>
  </conditionalFormatting>
  <conditionalFormatting sqref="AP63">
    <cfRule type="expression" dxfId="106" priority="56">
      <formula>AP$5:CB$5="Sat"</formula>
    </cfRule>
    <cfRule type="expression" dxfId="105" priority="57">
      <formula>AP$5:CB$5="Sun"</formula>
    </cfRule>
  </conditionalFormatting>
  <conditionalFormatting sqref="AP63">
    <cfRule type="expression" dxfId="104" priority="58">
      <formula>AP$5:CB$5="Sun"</formula>
    </cfRule>
  </conditionalFormatting>
  <conditionalFormatting sqref="H65:H68">
    <cfRule type="expression" dxfId="103" priority="48">
      <formula>H$5:AL$5="Sat"</formula>
    </cfRule>
    <cfRule type="expression" dxfId="102" priority="49">
      <formula>H$5:AL$5="Sun"</formula>
    </cfRule>
  </conditionalFormatting>
  <conditionalFormatting sqref="AM65:AO65 AM67:AO67 L65:AL68">
    <cfRule type="expression" dxfId="101" priority="50">
      <formula>L$5:AX$5="Sat"</formula>
    </cfRule>
    <cfRule type="expression" dxfId="100" priority="51">
      <formula>L$5:AX$5="Sun"</formula>
    </cfRule>
  </conditionalFormatting>
  <conditionalFormatting sqref="AM65:AO65 AM67:AO67 L65:AL68">
    <cfRule type="expression" dxfId="99" priority="52">
      <formula>L$5:AX$5="Sun"</formula>
    </cfRule>
  </conditionalFormatting>
  <conditionalFormatting sqref="I65:K68">
    <cfRule type="expression" dxfId="98" priority="53">
      <formula>I$5:AQ$5="Sat"</formula>
    </cfRule>
    <cfRule type="expression" dxfId="97" priority="54">
      <formula>I$5:AQ$5="Sun"</formula>
    </cfRule>
  </conditionalFormatting>
  <conditionalFormatting sqref="J65:K68">
    <cfRule type="expression" dxfId="96" priority="55">
      <formula>J$5:AR$5="Sun"</formula>
    </cfRule>
  </conditionalFormatting>
  <conditionalFormatting sqref="AP65">
    <cfRule type="expression" dxfId="95" priority="45">
      <formula>AP$5:CB$5="Sat"</formula>
    </cfRule>
    <cfRule type="expression" dxfId="94" priority="46">
      <formula>AP$5:CB$5="Sun"</formula>
    </cfRule>
  </conditionalFormatting>
  <conditionalFormatting sqref="AP65">
    <cfRule type="expression" dxfId="93" priority="47">
      <formula>AP$5:CB$5="Sun"</formula>
    </cfRule>
  </conditionalFormatting>
  <conditionalFormatting sqref="AO9:AP9 AM9">
    <cfRule type="expression" dxfId="92" priority="36">
      <formula>AM$5:BY$5="Sat"</formula>
    </cfRule>
    <cfRule type="expression" dxfId="91" priority="37">
      <formula>AM$5:BY$5="Sun"</formula>
    </cfRule>
  </conditionalFormatting>
  <conditionalFormatting sqref="AO9:AP9 AM9">
    <cfRule type="expression" dxfId="90" priority="38">
      <formula>AM$5:BY$5="Sun"</formula>
    </cfRule>
  </conditionalFormatting>
  <conditionalFormatting sqref="AN9">
    <cfRule type="expression" dxfId="89" priority="31">
      <formula>AN$5:BZ$5="Sat"</formula>
    </cfRule>
    <cfRule type="expression" dxfId="88" priority="32">
      <formula>AN$5:BZ$5="Sun"</formula>
    </cfRule>
  </conditionalFormatting>
  <conditionalFormatting sqref="AN9">
    <cfRule type="expression" dxfId="87" priority="33">
      <formula>AN$5:BZ$5="Sun"</formula>
    </cfRule>
  </conditionalFormatting>
  <conditionalFormatting sqref="H7:H8">
    <cfRule type="expression" dxfId="86" priority="17">
      <formula>H$5:AL$5="Sat"</formula>
    </cfRule>
    <cfRule type="expression" dxfId="85" priority="18">
      <formula>H$5:AL$5="Sun"</formula>
    </cfRule>
  </conditionalFormatting>
  <conditionalFormatting sqref="L7:AL8">
    <cfRule type="expression" dxfId="84" priority="19">
      <formula>L$5:AX$5="Sat"</formula>
    </cfRule>
    <cfRule type="expression" dxfId="83" priority="20">
      <formula>L$5:AX$5="Sun"</formula>
    </cfRule>
  </conditionalFormatting>
  <conditionalFormatting sqref="L7:AL8">
    <cfRule type="expression" dxfId="82" priority="21">
      <formula>L$5:AX$5="Sun"</formula>
    </cfRule>
  </conditionalFormatting>
  <conditionalFormatting sqref="I7:K8">
    <cfRule type="expression" dxfId="81" priority="22">
      <formula>I$5:AQ$5="Sat"</formula>
    </cfRule>
    <cfRule type="expression" dxfId="80" priority="23">
      <formula>I$5:AQ$5="Sun"</formula>
    </cfRule>
  </conditionalFormatting>
  <conditionalFormatting sqref="J7:K8">
    <cfRule type="expression" dxfId="79" priority="24">
      <formula>J$5:AR$5="Sun"</formula>
    </cfRule>
  </conditionalFormatting>
  <conditionalFormatting sqref="H9:H10">
    <cfRule type="expression" dxfId="78" priority="1">
      <formula>H$5:AL$5="Sat"</formula>
    </cfRule>
    <cfRule type="expression" dxfId="77" priority="2">
      <formula>H$5:AL$5="Sun"</formula>
    </cfRule>
  </conditionalFormatting>
  <conditionalFormatting sqref="L9:AL10">
    <cfRule type="expression" dxfId="76" priority="3">
      <formula>L$5:AX$5="Sat"</formula>
    </cfRule>
    <cfRule type="expression" dxfId="75" priority="4">
      <formula>L$5:AX$5="Sun"</formula>
    </cfRule>
  </conditionalFormatting>
  <conditionalFormatting sqref="L9:AL10">
    <cfRule type="expression" dxfId="74" priority="5">
      <formula>L$5:AX$5="Sun"</formula>
    </cfRule>
  </conditionalFormatting>
  <conditionalFormatting sqref="I9:K10">
    <cfRule type="expression" dxfId="73" priority="6">
      <formula>I$5:AQ$5="Sat"</formula>
    </cfRule>
    <cfRule type="expression" dxfId="72" priority="7">
      <formula>I$5:AQ$5="Sun"</formula>
    </cfRule>
  </conditionalFormatting>
  <conditionalFormatting sqref="J9:K10">
    <cfRule type="expression" dxfId="71" priority="8">
      <formula>J$5:AR$5="Sun"</formula>
    </cfRule>
  </conditionalFormatting>
  <dataValidations count="3">
    <dataValidation operator="equal" allowBlank="1" showInputMessage="1" showErrorMessage="1" sqref="AP59 AP7 AP11 AP13 AP15 AP17 AP19 AP21 AP67 AP23 AP25 AP31 AP27 AP29 AP37 AP33 AP35 AP43 AP39 AP41 AP49 AP45 AP47 AP55 AP51 AP53 AP61 AP57 AP63 AP65 AM7:AO68 AP9" xr:uid="{FB376E73-F18A-423A-B94E-CF78FAF76F1C}"/>
    <dataValidation type="whole" operator="equal" allowBlank="1" showInputMessage="1" showErrorMessage="1" sqref="H7:AL68" xr:uid="{681F6F35-28CB-4F5B-BDB0-C207566888A9}">
      <formula1>1</formula1>
    </dataValidation>
    <dataValidation type="list" allowBlank="1" showInputMessage="1" showErrorMessage="1" sqref="C2" xr:uid="{912AE697-1F99-4682-8AF6-5F672A8184B0}">
      <formula1>EN_Date</formula1>
    </dataValidation>
  </dataValidations>
  <pageMargins left="0.7" right="0.7" top="0.75" bottom="0.75" header="0.3" footer="0.3"/>
  <pageSetup paperSize="9" orientation="portrait" horizontalDpi="1200" verticalDpi="1200" r:id="rId1"/>
  <headerFooter>
    <oddFooter>&amp;C&amp;1#&amp;"Arial"&amp;10&amp;K000000Internal</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CEA513-640A-4AAD-A3C0-9F5E971CA342}">
  <sheetPr codeName="Sheet4"/>
  <dimension ref="A1:BF53"/>
  <sheetViews>
    <sheetView zoomScale="80" zoomScaleNormal="80" workbookViewId="0">
      <pane xSplit="6" ySplit="5" topLeftCell="Q6" activePane="bottomRight" state="frozen"/>
      <selection pane="topRight" activeCell="X3" sqref="X3:X5"/>
      <selection pane="bottomLeft" activeCell="X3" sqref="X3:X5"/>
      <selection pane="bottomRight" activeCell="F15" sqref="F15"/>
    </sheetView>
  </sheetViews>
  <sheetFormatPr defaultColWidth="9.109375" defaultRowHeight="14.4"/>
  <cols>
    <col min="1" max="1" width="7.109375" style="8" customWidth="1"/>
    <col min="2" max="2" width="15.44140625" style="8" customWidth="1"/>
    <col min="3" max="4" width="15.44140625" style="8" bestFit="1" customWidth="1"/>
    <col min="5" max="6" width="11.5546875" style="8" customWidth="1"/>
    <col min="7" max="38" width="8.5546875" style="8" customWidth="1"/>
    <col min="39" max="41" width="9.109375" style="8"/>
    <col min="42" max="44" width="9.109375" style="8" hidden="1" customWidth="1"/>
    <col min="45" max="45" width="9.109375" style="8"/>
    <col min="46" max="47" width="26.88671875" style="8" customWidth="1"/>
    <col min="48" max="55" width="13.5546875" style="8" customWidth="1"/>
    <col min="56" max="56" width="18.5546875" style="8" bestFit="1" customWidth="1"/>
    <col min="57" max="57" width="14.44140625" style="8" customWidth="1"/>
    <col min="58" max="58" width="16.5546875" style="8" bestFit="1" customWidth="1"/>
    <col min="59" max="16384" width="9.109375" style="8"/>
  </cols>
  <sheetData>
    <row r="1" spans="1:58" ht="18.600000000000001" thickBot="1">
      <c r="A1" s="83" t="s">
        <v>63</v>
      </c>
    </row>
    <row r="2" spans="1:58" ht="47.25" customHeight="1" thickBot="1">
      <c r="A2" s="198" t="s">
        <v>64</v>
      </c>
      <c r="B2" s="199"/>
      <c r="C2" s="102" t="s">
        <v>92</v>
      </c>
      <c r="D2" s="33" t="e">
        <f>EOMONTH(C2,0)</f>
        <v>#VALUE!</v>
      </c>
      <c r="G2" s="210" t="s">
        <v>93</v>
      </c>
      <c r="H2" s="211"/>
      <c r="I2" s="211"/>
      <c r="J2" s="211"/>
      <c r="K2" s="211"/>
      <c r="L2" s="211"/>
      <c r="M2" s="211"/>
      <c r="N2" s="211"/>
      <c r="O2" s="211"/>
      <c r="P2" s="211"/>
      <c r="Q2" s="211"/>
      <c r="R2" s="211"/>
      <c r="S2" s="211"/>
      <c r="T2" s="211"/>
      <c r="U2" s="211"/>
      <c r="V2" s="211"/>
      <c r="W2" s="211"/>
      <c r="X2" s="211"/>
      <c r="Y2" s="211"/>
      <c r="Z2" s="211"/>
      <c r="AA2" s="211"/>
      <c r="AB2" s="211"/>
      <c r="AC2" s="211"/>
      <c r="AD2" s="211"/>
      <c r="AE2" s="211"/>
      <c r="AF2" s="211"/>
      <c r="AG2" s="211"/>
      <c r="AH2" s="211"/>
      <c r="AI2" s="211"/>
      <c r="AJ2" s="211"/>
      <c r="AK2" s="211"/>
      <c r="AL2" s="212"/>
    </row>
    <row r="3" spans="1:58" ht="15" thickBot="1">
      <c r="F3" s="10"/>
      <c r="G3" s="34" t="s">
        <v>88</v>
      </c>
      <c r="H3" s="10"/>
      <c r="I3" s="10"/>
      <c r="J3" s="10"/>
      <c r="K3" s="10"/>
      <c r="L3" s="10"/>
      <c r="M3" s="10"/>
      <c r="N3" s="10"/>
      <c r="O3" s="10"/>
      <c r="P3" s="10"/>
      <c r="Q3" s="10"/>
      <c r="R3" s="10"/>
      <c r="S3" s="10"/>
      <c r="T3" s="10"/>
      <c r="U3" s="10"/>
      <c r="V3" s="10"/>
      <c r="W3" s="10"/>
      <c r="X3" s="10"/>
      <c r="Y3" s="10"/>
      <c r="Z3" s="10"/>
      <c r="AA3" s="10"/>
      <c r="AB3" s="10"/>
      <c r="AC3" s="10"/>
      <c r="AD3" s="10"/>
      <c r="AE3" s="10"/>
      <c r="AF3" s="10"/>
      <c r="AG3" s="10"/>
      <c r="AH3" s="10"/>
    </row>
    <row r="4" spans="1:58" ht="85.5" customHeight="1">
      <c r="A4" s="35" t="s">
        <v>67</v>
      </c>
      <c r="B4" s="36" t="s">
        <v>68</v>
      </c>
      <c r="C4" s="13" t="s">
        <v>69</v>
      </c>
      <c r="D4" s="13" t="s">
        <v>94</v>
      </c>
      <c r="E4" s="13" t="s">
        <v>71</v>
      </c>
      <c r="F4" s="37" t="s">
        <v>72</v>
      </c>
      <c r="G4" s="38" t="e">
        <f>IF($C$2+0&gt;$D$2+1,"",$C$2+0)</f>
        <v>#VALUE!</v>
      </c>
      <c r="H4" s="39" t="e">
        <f>IF($C$2+1&gt;$D$2+1,"",$C$2+1)</f>
        <v>#VALUE!</v>
      </c>
      <c r="I4" s="39" t="e">
        <f>IF($C$2+2&gt;$D$2+1,"",$C$2+2)</f>
        <v>#VALUE!</v>
      </c>
      <c r="J4" s="39" t="e">
        <f>IF($C$2+3&gt;$D$2+1,"",$C$2+3)</f>
        <v>#VALUE!</v>
      </c>
      <c r="K4" s="39" t="e">
        <f>IF($C$2+4&gt;$D$2+1,"",$C$2+4)</f>
        <v>#VALUE!</v>
      </c>
      <c r="L4" s="39" t="e">
        <f>IF($C$2+5&gt;$D$2+1,"",$C$2+5)</f>
        <v>#VALUE!</v>
      </c>
      <c r="M4" s="39" t="e">
        <f>IF($C$2+6&gt;$D$2+1,"",$C$2+6)</f>
        <v>#VALUE!</v>
      </c>
      <c r="N4" s="39" t="e">
        <f>IF($C$2+7&gt;$D$2+1,"",$C$2+7)</f>
        <v>#VALUE!</v>
      </c>
      <c r="O4" s="39" t="e">
        <f>IF($C$2+8&gt;$D$2+1,"",$C$2+8)</f>
        <v>#VALUE!</v>
      </c>
      <c r="P4" s="39" t="e">
        <f>IF($C$2+9&gt;$D$2+1,"",$C$2+9)</f>
        <v>#VALUE!</v>
      </c>
      <c r="Q4" s="39" t="e">
        <f>IF($C$2+10&gt;$D$2+1,"",$C$2+10)</f>
        <v>#VALUE!</v>
      </c>
      <c r="R4" s="39" t="e">
        <f>IF($C$2+11&gt;$D$2+1,"",$C$2+11)</f>
        <v>#VALUE!</v>
      </c>
      <c r="S4" s="39" t="e">
        <f>IF($C$2+12&gt;$D$2+1,"",$C$2+12)</f>
        <v>#VALUE!</v>
      </c>
      <c r="T4" s="39" t="e">
        <f>IF($C$2+13&gt;$D$2+1,"",$C$2+13)</f>
        <v>#VALUE!</v>
      </c>
      <c r="U4" s="39" t="e">
        <f>IF($C$2+14&gt;$D$2+1,"",$C$2+14)</f>
        <v>#VALUE!</v>
      </c>
      <c r="V4" s="39" t="e">
        <f>IF($C$2+15&gt;$D$2+1,"",$C$2+15)</f>
        <v>#VALUE!</v>
      </c>
      <c r="W4" s="39" t="e">
        <f>IF($C$2+16&gt;$D$2+1,"",$C$2+16)</f>
        <v>#VALUE!</v>
      </c>
      <c r="X4" s="39" t="e">
        <f>IF($C$2+17&gt;$D$2+1,"",$C$2+17)</f>
        <v>#VALUE!</v>
      </c>
      <c r="Y4" s="39" t="e">
        <f>IF($C$2+18&gt;$D$2+1,"",$C$2+18)</f>
        <v>#VALUE!</v>
      </c>
      <c r="Z4" s="39" t="e">
        <f>IF($C$2+19&gt;$D$2+1,"",$C$2+19)</f>
        <v>#VALUE!</v>
      </c>
      <c r="AA4" s="39" t="e">
        <f>IF($C$2+20&gt;$D$2+1,"",$C$2+20)</f>
        <v>#VALUE!</v>
      </c>
      <c r="AB4" s="39" t="e">
        <f>IF($C$2+21&gt;$D$2+1,"",$C$2+21)</f>
        <v>#VALUE!</v>
      </c>
      <c r="AC4" s="39" t="e">
        <f>IF($C$2+22&gt;$D$2+1,"",$C$2+22)</f>
        <v>#VALUE!</v>
      </c>
      <c r="AD4" s="39" t="e">
        <f>IF($C$2+23&gt;$D$2+1,"",$C$2+23)</f>
        <v>#VALUE!</v>
      </c>
      <c r="AE4" s="39" t="e">
        <f>IF($C$2+24&gt;$D$2+1,"",$C$2+24)</f>
        <v>#VALUE!</v>
      </c>
      <c r="AF4" s="39" t="e">
        <f>IF($C$2+25&gt;$D$2+1,"",$C$2+25)</f>
        <v>#VALUE!</v>
      </c>
      <c r="AG4" s="39" t="e">
        <f>IF($C$2+26&gt;$D$2+1,"",$C$2+26)</f>
        <v>#VALUE!</v>
      </c>
      <c r="AH4" s="39" t="e">
        <f>IF($C$2+27&gt;$D$2+1,"",$C$2+27)</f>
        <v>#VALUE!</v>
      </c>
      <c r="AI4" s="39" t="e">
        <f>IF($C$2+28&gt;$D$2+1,"",$C$2+28)</f>
        <v>#VALUE!</v>
      </c>
      <c r="AJ4" s="39" t="e">
        <f>IF($C$2+29&gt;$D$2+1,"",$C$2+29)</f>
        <v>#VALUE!</v>
      </c>
      <c r="AK4" s="39" t="e">
        <f>IF($C$2+30&gt;$D$2+1,"",$C$2+30)</f>
        <v>#VALUE!</v>
      </c>
      <c r="AL4" s="40" t="e">
        <f>IF($C$2+31&gt;$D$2+1,"",$C$2+31)</f>
        <v>#VALUE!</v>
      </c>
      <c r="AM4" s="12" t="s">
        <v>95</v>
      </c>
      <c r="AN4" s="13" t="s">
        <v>96</v>
      </c>
      <c r="AO4" s="13" t="s">
        <v>97</v>
      </c>
      <c r="AP4" s="13"/>
      <c r="AQ4" s="13"/>
      <c r="AR4" s="13"/>
      <c r="AS4" s="13" t="s">
        <v>98</v>
      </c>
      <c r="AT4" s="13" t="s">
        <v>99</v>
      </c>
      <c r="AU4" s="13" t="s">
        <v>100</v>
      </c>
      <c r="AV4" s="13" t="s">
        <v>101</v>
      </c>
      <c r="AW4" s="13" t="s">
        <v>102</v>
      </c>
      <c r="AX4" s="13" t="s">
        <v>103</v>
      </c>
      <c r="AY4" s="13" t="s">
        <v>104</v>
      </c>
      <c r="AZ4" s="13" t="s">
        <v>105</v>
      </c>
      <c r="BA4" s="13" t="s">
        <v>106</v>
      </c>
      <c r="BB4" s="13" t="s">
        <v>107</v>
      </c>
      <c r="BC4" s="13" t="s">
        <v>75</v>
      </c>
      <c r="BD4" s="13" t="s">
        <v>78</v>
      </c>
      <c r="BE4" s="13" t="s">
        <v>108</v>
      </c>
      <c r="BF4" s="112" t="s">
        <v>109</v>
      </c>
    </row>
    <row r="5" spans="1:58" ht="15" thickBot="1">
      <c r="A5" s="41"/>
      <c r="B5" s="42"/>
      <c r="C5" s="43"/>
      <c r="D5" s="43"/>
      <c r="E5" s="43"/>
      <c r="F5" s="44"/>
      <c r="G5" s="45" t="str">
        <f>IFERROR(HLOOKUP(G4,Reference!1:2,2,0),"")</f>
        <v/>
      </c>
      <c r="H5" s="46" t="str">
        <f>IFERROR(HLOOKUP(H4,Reference!1:2,2,0),"")</f>
        <v/>
      </c>
      <c r="I5" s="46" t="str">
        <f>IFERROR(HLOOKUP(I4,Reference!1:2,2,0),"")</f>
        <v/>
      </c>
      <c r="J5" s="46" t="str">
        <f>IFERROR(HLOOKUP(J4,Reference!1:2,2,0),"")</f>
        <v/>
      </c>
      <c r="K5" s="46" t="str">
        <f>IFERROR(HLOOKUP(K4,Reference!1:2,2,0),"")</f>
        <v/>
      </c>
      <c r="L5" s="46" t="str">
        <f>IFERROR(HLOOKUP(L4,Reference!1:2,2,0),"")</f>
        <v/>
      </c>
      <c r="M5" s="46" t="str">
        <f>IFERROR(HLOOKUP(M4,Reference!1:2,2,0),"")</f>
        <v/>
      </c>
      <c r="N5" s="46" t="str">
        <f>IFERROR(HLOOKUP(N4,Reference!1:2,2,0),"")</f>
        <v/>
      </c>
      <c r="O5" s="46" t="str">
        <f>IFERROR(HLOOKUP(O4,Reference!1:2,2,0),"")</f>
        <v/>
      </c>
      <c r="P5" s="46" t="str">
        <f>IFERROR(HLOOKUP(P4,Reference!1:2,2,0),"")</f>
        <v/>
      </c>
      <c r="Q5" s="46" t="str">
        <f>IFERROR(HLOOKUP(Q4,Reference!1:2,2,0),"")</f>
        <v/>
      </c>
      <c r="R5" s="46" t="str">
        <f>IFERROR(HLOOKUP(R4,Reference!1:2,2,0),"")</f>
        <v/>
      </c>
      <c r="S5" s="46" t="str">
        <f>IFERROR(HLOOKUP(S4,Reference!1:2,2,0),"")</f>
        <v/>
      </c>
      <c r="T5" s="46" t="str">
        <f>IFERROR(HLOOKUP(T4,Reference!1:2,2,0),"")</f>
        <v/>
      </c>
      <c r="U5" s="46" t="str">
        <f>IFERROR(HLOOKUP(U4,Reference!1:2,2,0),"")</f>
        <v/>
      </c>
      <c r="V5" s="46" t="str">
        <f>IFERROR(HLOOKUP(V4,Reference!1:2,2,0),"")</f>
        <v/>
      </c>
      <c r="W5" s="46" t="str">
        <f>IFERROR(HLOOKUP(W4,Reference!1:2,2,0),"")</f>
        <v/>
      </c>
      <c r="X5" s="46" t="str">
        <f>IFERROR(HLOOKUP(X4,Reference!1:2,2,0),"")</f>
        <v/>
      </c>
      <c r="Y5" s="46" t="str">
        <f>IFERROR(HLOOKUP(Y4,Reference!1:2,2,0),"")</f>
        <v/>
      </c>
      <c r="Z5" s="46" t="str">
        <f>IFERROR(HLOOKUP(Z4,Reference!1:2,2,0),"")</f>
        <v/>
      </c>
      <c r="AA5" s="46" t="str">
        <f>IFERROR(HLOOKUP(AA4,Reference!1:2,2,0),"")</f>
        <v/>
      </c>
      <c r="AB5" s="46" t="str">
        <f>IFERROR(HLOOKUP(AB4,Reference!1:2,2,0),"")</f>
        <v/>
      </c>
      <c r="AC5" s="46" t="str">
        <f>IFERROR(HLOOKUP(AC4,Reference!1:2,2,0),"")</f>
        <v/>
      </c>
      <c r="AD5" s="46" t="str">
        <f>IFERROR(HLOOKUP(AD4,Reference!1:2,2,0),"")</f>
        <v/>
      </c>
      <c r="AE5" s="46" t="str">
        <f>IFERROR(HLOOKUP(AE4,Reference!1:2,2,0),"")</f>
        <v/>
      </c>
      <c r="AF5" s="46" t="str">
        <f>IFERROR(HLOOKUP(AF4,Reference!1:2,2,0),"")</f>
        <v/>
      </c>
      <c r="AG5" s="46" t="str">
        <f>IFERROR(HLOOKUP(AG4,Reference!1:2,2,0),"")</f>
        <v/>
      </c>
      <c r="AH5" s="46" t="str">
        <f>IFERROR(HLOOKUP(AH4,Reference!1:2,2,0),"")</f>
        <v/>
      </c>
      <c r="AI5" s="46" t="str">
        <f>IFERROR(HLOOKUP(AI4,Reference!1:2,2,0),"")</f>
        <v/>
      </c>
      <c r="AJ5" s="46" t="str">
        <f>IFERROR(HLOOKUP(AJ4,Reference!1:2,2,0),"")</f>
        <v/>
      </c>
      <c r="AK5" s="46" t="str">
        <f>IFERROR(HLOOKUP(AK4,Reference!1:2,2,0),"")</f>
        <v/>
      </c>
      <c r="AL5" s="47" t="str">
        <f>IFERROR(HLOOKUP(AL4,Reference!1:2,2,0),"")</f>
        <v/>
      </c>
      <c r="AM5" s="48"/>
      <c r="AN5" s="43"/>
      <c r="AO5" s="43"/>
      <c r="AP5" s="43"/>
      <c r="AQ5" s="43"/>
      <c r="AR5" s="43"/>
      <c r="AS5" s="43"/>
      <c r="AT5" s="43"/>
      <c r="AU5" s="43"/>
      <c r="AV5" s="43"/>
      <c r="AW5" s="43"/>
      <c r="AX5" s="43"/>
      <c r="AY5" s="43"/>
      <c r="AZ5" s="43"/>
      <c r="BA5" s="43"/>
      <c r="BB5" s="43"/>
      <c r="BC5" s="43"/>
      <c r="BD5" s="49"/>
      <c r="BE5" s="43"/>
      <c r="BF5" s="113"/>
    </row>
    <row r="6" spans="1:58">
      <c r="A6" s="50">
        <v>0</v>
      </c>
      <c r="B6" s="51">
        <v>12345</v>
      </c>
      <c r="C6" s="110" t="s">
        <v>89</v>
      </c>
      <c r="D6" s="52">
        <v>105</v>
      </c>
      <c r="E6" s="110"/>
      <c r="F6" s="53"/>
      <c r="G6" s="54" t="s">
        <v>110</v>
      </c>
      <c r="H6" s="52" t="s">
        <v>110</v>
      </c>
      <c r="I6" s="52"/>
      <c r="J6" s="52" t="s">
        <v>111</v>
      </c>
      <c r="K6" s="52" t="s">
        <v>112</v>
      </c>
      <c r="L6" s="52" t="s">
        <v>110</v>
      </c>
      <c r="M6" s="52"/>
      <c r="N6" s="52"/>
      <c r="O6" s="52" t="s">
        <v>110</v>
      </c>
      <c r="P6" s="52" t="s">
        <v>110</v>
      </c>
      <c r="Q6" s="52"/>
      <c r="R6" s="52"/>
      <c r="S6" s="52" t="s">
        <v>110</v>
      </c>
      <c r="T6" s="52" t="s">
        <v>110</v>
      </c>
      <c r="U6" s="52"/>
      <c r="V6" s="52"/>
      <c r="W6" s="52" t="s">
        <v>110</v>
      </c>
      <c r="X6" s="52" t="s">
        <v>110</v>
      </c>
      <c r="Y6" s="52" t="s">
        <v>110</v>
      </c>
      <c r="Z6" s="52"/>
      <c r="AA6" s="52" t="s">
        <v>110</v>
      </c>
      <c r="AB6" s="52" t="s">
        <v>110</v>
      </c>
      <c r="AC6" s="52"/>
      <c r="AD6" s="52" t="s">
        <v>111</v>
      </c>
      <c r="AE6" s="52" t="s">
        <v>111</v>
      </c>
      <c r="AF6" s="52" t="s">
        <v>111</v>
      </c>
      <c r="AG6" s="52"/>
      <c r="AH6" s="52"/>
      <c r="AI6" s="52"/>
      <c r="AJ6" s="52"/>
      <c r="AK6" s="52"/>
      <c r="AL6" s="55"/>
      <c r="AM6" s="56">
        <f t="shared" ref="AM6" si="0">COUNTIFS(G6:AK6,"日",$G$4:$AK$4,"&lt;="&amp;$D$2)*12</f>
        <v>48</v>
      </c>
      <c r="AN6" s="57">
        <f t="shared" ref="AN6" si="1">COUNTIFS(G6:AK6,"夜",$G$4:$AK$4,"&lt;="&amp;$D$2)*12</f>
        <v>144</v>
      </c>
      <c r="AO6" s="57">
        <f t="shared" ref="AO6" si="2">COUNTIFS(G6:AK6,"常",$G$4:$AK$4,"&lt;="&amp;$D$2)*8</f>
        <v>8</v>
      </c>
      <c r="AP6" s="61"/>
      <c r="AQ6" s="61"/>
      <c r="AR6" s="61"/>
      <c r="AS6" s="57" t="e">
        <f t="shared" ref="AS6" si="3">COUNTIFS(G6:AK6,"日",$G$4:$AK$4,"&lt;="&amp;$D$2,$G$5:$AK$5,"PH")*12+COUNTIFS(G6:AK6,"常",$G$4:$AK$4,"&lt;="&amp;$D$2,$G$5:$AK$5,"PH")*8+COUNTIFS(G6:AK6,"夜",$G$4:$AK$4,"&lt;="&amp;$D$2,$G$5:$AK$5,"PH")*3.5+
IF(AND(G6="夜",$H$5="PH",$G$4&lt;=$D$2),8.5,0)+IF(AND(H6="夜",$I$5="PH",$H$4&lt;=$D$2),8.5,0)+IF(AND(I6="夜",$J$5="PH",$I$4&lt;=$D$2),8.5,0)+IF(AND(J6="夜",$K$5="PH",$J$4&lt;=$D$2),8.5,0)+IF(AND(K6="夜",$L$5="PH",$K$4&lt;=$D$2),8.5,0)+IF(AND(L6="夜",$M$5="PH",$L$4&lt;=$D$2),8.5,0)+IF(AND(M6="夜",$N$5="PH",$M$4&lt;=$D$2),8.5,0)+IF(AND(N6="夜",$O$5="PH",$N$4&lt;=$D$2),8.5,0)+IF(AND(O6="夜",$P$5="PH",$O$4&lt;=$D$2),8.5,0)+IF(AND(P6="夜",$Q$5="PH",$P$4&lt;=$D$2),8.5,0)+IF(AND(Q6="夜",$R$5="PH",$Q$4&lt;=$D$2),8.5,0)+IF(AND(R6="夜",$S$5="PH",$R$4&lt;=$D$2),8.5,0)+IF(AND(S6="夜",$T$5="PH",$S$4&lt;=$D$2),8.5,0)+IF(AND(T6="夜",$U$5="PH",$T$4&lt;=$D$2),8.5,0)+IF(AND(U6="夜",$V$5="PH",$U$4&lt;=$D$2),8.5,0)+IF(AND(V6="夜",$W$5="PH",$V$4&lt;=$D$2),8.5,0)+IF(AND(W6="夜",$X$5="PH",$W$4&lt;=$D$2),8.5,0)+IF(AND(X6="夜",$Y$5="PH",$X$4&lt;=$D$2),8.5,0)+IF(AND(Y6="夜",$Z$5="PH",$Y$4&lt;=$D$2),8.5,0)+IF(AND(Z6="夜",$AA$5="PH",$Z$4&lt;=$D$2),8.5,0)+IF(AND(AA6="夜",$AB$5="PH",$AA$4&lt;=$D$2),8.5,0)+IF(AND(AB6="夜",$AC$5="PH",$AB$4&lt;=$D$2),8.5,0)+IF(AND(AC6="夜",$AD$5="PH",$AC$4&lt;=$D$2),8.5,0)+IF(AND(AD6="夜",$AE$5="PH",$AD$4&lt;=$D$2),8.5,0)+IF(AND(AE6="夜",$AF$5="PH",$AE$4&lt;=$D$2),8.5,0)+IF(AND(AF6="夜",$AG$5="PH",$AF$4&lt;=$D$2),8.5,0)+IF(AND(AG6="夜",$AH$5="PH",$AG$4&lt;=$D$2),8.5,0)+IF(AND(AH6="夜",$AI$5="PH",$AH$4&lt;=$D$2),8.5,0)+IF(AND(AI6="夜",$AJ$5="PH",$AI$4&lt;=$D$2),8.5,0)+IF(AND(AJ6="夜",$AK$5="PH",$AJ$4&lt;=$D$2),8.5,0)+IF(AND(AK6="夜",$AL$5="PH",$AK$4&lt;=$D$2),8.5,0)</f>
        <v>#VALUE!</v>
      </c>
      <c r="AT6" s="52"/>
      <c r="AU6" s="52"/>
      <c r="AV6" s="57" t="e">
        <f>SUM(AM6:AO6)-AS6+AT6</f>
        <v>#VALUE!</v>
      </c>
      <c r="AW6" s="57" t="e">
        <f t="shared" ref="AW6" si="4">AV6/8</f>
        <v>#VALUE!</v>
      </c>
      <c r="AX6" s="57" t="e">
        <f t="shared" ref="AX6:AX36" si="5">NETWORKDAYS($C$2,$D$2)</f>
        <v>#VALUE!</v>
      </c>
      <c r="AY6" s="57" t="e">
        <f t="shared" ref="AY6" si="6">ROUND(IF(AW6&gt;=AX6,AX6,AW6)*D6,2)</f>
        <v>#VALUE!</v>
      </c>
      <c r="AZ6" s="57" t="e">
        <f t="shared" ref="AZ6" si="7">ROUND(IF((AW6-AX6)*1.5*D6&lt;0,0,(AW6-AX6)*1.5*D6),2)</f>
        <v>#VALUE!</v>
      </c>
      <c r="BA6" s="57" t="e">
        <f t="shared" ref="BA6" si="8">ROUND(D6/8*(AS6+AU6)*3,2)</f>
        <v>#VALUE!</v>
      </c>
      <c r="BB6" s="57">
        <f t="shared" ref="BB6" si="9">COUNTIFS(G6:AK6,"日",$G$4:$AK$4,"&lt;="&amp;$D$2)*50+COUNTIFS(G6:AK6,"夜",$G$4:$AK$4,"&lt;="&amp;$D$2)*50</f>
        <v>800</v>
      </c>
      <c r="BC6" s="52">
        <v>500</v>
      </c>
      <c r="BD6" s="58" t="e">
        <f t="shared" ref="BD6" si="10">SUM(AY6:BC6)</f>
        <v>#VALUE!</v>
      </c>
      <c r="BE6" s="52"/>
      <c r="BF6" s="114" t="s">
        <v>62</v>
      </c>
    </row>
    <row r="7" spans="1:58">
      <c r="A7" s="59">
        <v>1</v>
      </c>
      <c r="B7" s="103"/>
      <c r="C7" s="104"/>
      <c r="D7" s="105"/>
      <c r="E7" s="104"/>
      <c r="F7" s="106"/>
      <c r="G7" s="107"/>
      <c r="H7" s="105"/>
      <c r="I7" s="105"/>
      <c r="J7" s="105"/>
      <c r="K7" s="105"/>
      <c r="L7" s="105"/>
      <c r="M7" s="105"/>
      <c r="N7" s="105"/>
      <c r="O7" s="105"/>
      <c r="P7" s="105"/>
      <c r="Q7" s="105"/>
      <c r="R7" s="105"/>
      <c r="S7" s="105"/>
      <c r="T7" s="105"/>
      <c r="U7" s="105"/>
      <c r="V7" s="105"/>
      <c r="W7" s="105"/>
      <c r="X7" s="105"/>
      <c r="Y7" s="105"/>
      <c r="Z7" s="105"/>
      <c r="AA7" s="105"/>
      <c r="AB7" s="105"/>
      <c r="AC7" s="105"/>
      <c r="AD7" s="105"/>
      <c r="AE7" s="105"/>
      <c r="AF7" s="105"/>
      <c r="AG7" s="105"/>
      <c r="AH7" s="105"/>
      <c r="AI7" s="105"/>
      <c r="AJ7" s="105"/>
      <c r="AK7" s="105"/>
      <c r="AL7" s="97"/>
      <c r="AM7" s="60">
        <f t="shared" ref="AM7:AM21" si="11">COUNTIFS(G7:AK7,"日",$G$4:$AK$4,"&lt;="&amp;$D$2)*12</f>
        <v>0</v>
      </c>
      <c r="AN7" s="61">
        <f t="shared" ref="AN7:AN21" si="12">COUNTIFS(G7:AK7,"夜",$G$4:$AK$4,"&lt;="&amp;$D$2)*12</f>
        <v>0</v>
      </c>
      <c r="AO7" s="61">
        <f t="shared" ref="AO7:AO21" si="13">COUNTIFS(G7:AK7,"常",$G$4:$AK$4,"&lt;="&amp;$D$2)*8</f>
        <v>0</v>
      </c>
      <c r="AP7" s="61"/>
      <c r="AQ7" s="61"/>
      <c r="AR7" s="61"/>
      <c r="AS7" s="61" t="e">
        <f t="shared" ref="AS7:AS21" si="14">COUNTIFS(G7:AK7,"日",$G$4:$AK$4,"&lt;="&amp;$D$2,$G$5:$AK$5,"PH")*12+COUNTIFS(G7:AK7,"常",$G$4:$AK$4,"&lt;="&amp;$D$2,$G$5:$AK$5,"PH")*8+COUNTIFS(G7:AK7,"夜",$G$4:$AK$4,"&lt;="&amp;$D$2,$G$5:$AK$5,"PH")*3.5+
IF(AND(G7="夜",$H$5="PH",$G$4&lt;=$D$2),8.5,0)+IF(AND(H7="夜",$I$5="PH",$H$4&lt;=$D$2),8.5,0)+IF(AND(I7="夜",$J$5="PH",$I$4&lt;=$D$2),8.5,0)+IF(AND(J7="夜",$K$5="PH",$J$4&lt;=$D$2),8.5,0)+IF(AND(K7="夜",$L$5="PH",$K$4&lt;=$D$2),8.5,0)+IF(AND(L7="夜",$M$5="PH",$L$4&lt;=$D$2),8.5,0)+IF(AND(M7="夜",$N$5="PH",$M$4&lt;=$D$2),8.5,0)+IF(AND(N7="夜",$O$5="PH",$N$4&lt;=$D$2),8.5,0)+IF(AND(O7="夜",$P$5="PH",$O$4&lt;=$D$2),8.5,0)+IF(AND(P7="夜",$Q$5="PH",$P$4&lt;=$D$2),8.5,0)+IF(AND(Q7="夜",$R$5="PH",$Q$4&lt;=$D$2),8.5,0)+IF(AND(R7="夜",$S$5="PH",$R$4&lt;=$D$2),8.5,0)+IF(AND(S7="夜",$T$5="PH",$S$4&lt;=$D$2),8.5,0)+IF(AND(T7="夜",$U$5="PH",$T$4&lt;=$D$2),8.5,0)+IF(AND(U7="夜",$V$5="PH",$U$4&lt;=$D$2),8.5,0)+IF(AND(V7="夜",$W$5="PH",$V$4&lt;=$D$2),8.5,0)+IF(AND(W7="夜",$X$5="PH",$W$4&lt;=$D$2),8.5,0)+IF(AND(X7="夜",$Y$5="PH",$X$4&lt;=$D$2),8.5,0)+IF(AND(Y7="夜",$Z$5="PH",$Y$4&lt;=$D$2),8.5,0)+IF(AND(Z7="夜",$AA$5="PH",$Z$4&lt;=$D$2),8.5,0)+IF(AND(AA7="夜",$AB$5="PH",$AA$4&lt;=$D$2),8.5,0)+IF(AND(AB7="夜",$AC$5="PH",$AB$4&lt;=$D$2),8.5,0)+IF(AND(AC7="夜",$AD$5="PH",$AC$4&lt;=$D$2),8.5,0)+IF(AND(AD7="夜",$AE$5="PH",$AD$4&lt;=$D$2),8.5,0)+IF(AND(AE7="夜",$AF$5="PH",$AE$4&lt;=$D$2),8.5,0)+IF(AND(AF7="夜",$AG$5="PH",$AF$4&lt;=$D$2),8.5,0)+IF(AND(AG7="夜",$AH$5="PH",$AG$4&lt;=$D$2),8.5,0)+IF(AND(AH7="夜",$AI$5="PH",$AH$4&lt;=$D$2),8.5,0)+IF(AND(AI7="夜",$AJ$5="PH",$AI$4&lt;=$D$2),8.5,0)+IF(AND(AJ7="夜",$AK$5="PH",$AJ$4&lt;=$D$2),8.5,0)+IF(AND(AK7="夜",$AL$5="PH",$AK$4&lt;=$D$2),8.5,0)</f>
        <v>#VALUE!</v>
      </c>
      <c r="AT7" s="105"/>
      <c r="AU7" s="105"/>
      <c r="AV7" s="61" t="e">
        <f t="shared" ref="AV7:AV8" si="15">SUM(AM7:AO7)-AS7+AT7</f>
        <v>#VALUE!</v>
      </c>
      <c r="AW7" s="61" t="e">
        <f t="shared" ref="AW7:AW21" si="16">AV7/8</f>
        <v>#VALUE!</v>
      </c>
      <c r="AX7" s="61" t="e">
        <f t="shared" si="5"/>
        <v>#VALUE!</v>
      </c>
      <c r="AY7" s="61" t="e">
        <f t="shared" ref="AY7:AY21" si="17">ROUND(IF(AW7&gt;=AX7,AX7,AW7)*D7,2)</f>
        <v>#VALUE!</v>
      </c>
      <c r="AZ7" s="61" t="e">
        <f t="shared" ref="AZ7:AZ21" si="18">ROUND(IF((AW7-AX7)*1.5*D7&lt;0,0,(AW7-AX7)*1.5*D7),2)</f>
        <v>#VALUE!</v>
      </c>
      <c r="BA7" s="61" t="e">
        <f t="shared" ref="BA7:BA21" si="19">ROUND(D7/8*(AS7+AU7)*3,2)</f>
        <v>#VALUE!</v>
      </c>
      <c r="BB7" s="61">
        <f t="shared" ref="BB7:BB21" si="20">COUNTIFS(G7:AK7,"日",$G$4:$AK$4,"&lt;="&amp;$D$2)*50+COUNTIFS(G7:AK7,"夜",$G$4:$AK$4,"&lt;="&amp;$D$2)*50</f>
        <v>0</v>
      </c>
      <c r="BC7" s="105"/>
      <c r="BD7" s="62" t="e">
        <f t="shared" ref="BD7:BD21" si="21">SUM(AY7:BC7)</f>
        <v>#VALUE!</v>
      </c>
      <c r="BE7" s="105"/>
      <c r="BF7" s="115" t="s">
        <v>62</v>
      </c>
    </row>
    <row r="8" spans="1:58">
      <c r="A8" s="59">
        <v>2</v>
      </c>
      <c r="B8" s="103"/>
      <c r="C8" s="104"/>
      <c r="D8" s="105"/>
      <c r="E8" s="104"/>
      <c r="F8" s="106"/>
      <c r="G8" s="107"/>
      <c r="H8" s="105"/>
      <c r="I8" s="105"/>
      <c r="J8" s="105"/>
      <c r="K8" s="105"/>
      <c r="L8" s="105"/>
      <c r="M8" s="105"/>
      <c r="N8" s="105"/>
      <c r="O8" s="105"/>
      <c r="P8" s="105"/>
      <c r="Q8" s="105"/>
      <c r="R8" s="105"/>
      <c r="S8" s="105"/>
      <c r="T8" s="105"/>
      <c r="U8" s="105"/>
      <c r="V8" s="105"/>
      <c r="W8" s="105"/>
      <c r="X8" s="105"/>
      <c r="Y8" s="105"/>
      <c r="Z8" s="105"/>
      <c r="AA8" s="105"/>
      <c r="AB8" s="105"/>
      <c r="AC8" s="105"/>
      <c r="AD8" s="105"/>
      <c r="AE8" s="105"/>
      <c r="AF8" s="105"/>
      <c r="AG8" s="105"/>
      <c r="AH8" s="105"/>
      <c r="AI8" s="105"/>
      <c r="AJ8" s="105"/>
      <c r="AK8" s="105"/>
      <c r="AL8" s="97"/>
      <c r="AM8" s="60">
        <f t="shared" si="11"/>
        <v>0</v>
      </c>
      <c r="AN8" s="61">
        <f t="shared" si="12"/>
        <v>0</v>
      </c>
      <c r="AO8" s="61">
        <f t="shared" si="13"/>
        <v>0</v>
      </c>
      <c r="AP8" s="61"/>
      <c r="AQ8" s="61"/>
      <c r="AR8" s="61"/>
      <c r="AS8" s="61" t="e">
        <f t="shared" si="14"/>
        <v>#VALUE!</v>
      </c>
      <c r="AT8" s="105"/>
      <c r="AU8" s="105"/>
      <c r="AV8" s="61" t="e">
        <f t="shared" si="15"/>
        <v>#VALUE!</v>
      </c>
      <c r="AW8" s="61" t="e">
        <f t="shared" si="16"/>
        <v>#VALUE!</v>
      </c>
      <c r="AX8" s="61" t="e">
        <f t="shared" si="5"/>
        <v>#VALUE!</v>
      </c>
      <c r="AY8" s="61" t="e">
        <f t="shared" si="17"/>
        <v>#VALUE!</v>
      </c>
      <c r="AZ8" s="61" t="e">
        <f t="shared" si="18"/>
        <v>#VALUE!</v>
      </c>
      <c r="BA8" s="61" t="e">
        <f t="shared" si="19"/>
        <v>#VALUE!</v>
      </c>
      <c r="BB8" s="61">
        <f t="shared" si="20"/>
        <v>0</v>
      </c>
      <c r="BC8" s="105"/>
      <c r="BD8" s="62" t="e">
        <f t="shared" si="21"/>
        <v>#VALUE!</v>
      </c>
      <c r="BE8" s="105"/>
      <c r="BF8" s="115" t="s">
        <v>62</v>
      </c>
    </row>
    <row r="9" spans="1:58">
      <c r="A9" s="59">
        <v>3</v>
      </c>
      <c r="B9" s="103"/>
      <c r="C9" s="104"/>
      <c r="D9" s="105"/>
      <c r="E9" s="104"/>
      <c r="F9" s="106"/>
      <c r="G9" s="107"/>
      <c r="H9" s="105"/>
      <c r="I9" s="105"/>
      <c r="J9" s="105"/>
      <c r="K9" s="105"/>
      <c r="L9" s="105"/>
      <c r="M9" s="105"/>
      <c r="N9" s="105"/>
      <c r="O9" s="105"/>
      <c r="P9" s="105"/>
      <c r="Q9" s="105"/>
      <c r="R9" s="105"/>
      <c r="S9" s="105"/>
      <c r="T9" s="105"/>
      <c r="U9" s="105"/>
      <c r="V9" s="105"/>
      <c r="W9" s="105"/>
      <c r="X9" s="105"/>
      <c r="Y9" s="105"/>
      <c r="Z9" s="105"/>
      <c r="AA9" s="105"/>
      <c r="AB9" s="105"/>
      <c r="AC9" s="105"/>
      <c r="AD9" s="105"/>
      <c r="AE9" s="105"/>
      <c r="AF9" s="105"/>
      <c r="AG9" s="105"/>
      <c r="AH9" s="105"/>
      <c r="AI9" s="105"/>
      <c r="AJ9" s="105"/>
      <c r="AK9" s="105"/>
      <c r="AL9" s="97"/>
      <c r="AM9" s="60">
        <f t="shared" si="11"/>
        <v>0</v>
      </c>
      <c r="AN9" s="61">
        <f t="shared" si="12"/>
        <v>0</v>
      </c>
      <c r="AO9" s="61">
        <f t="shared" si="13"/>
        <v>0</v>
      </c>
      <c r="AP9" s="61"/>
      <c r="AQ9" s="61"/>
      <c r="AR9" s="61"/>
      <c r="AS9" s="61" t="e">
        <f t="shared" si="14"/>
        <v>#VALUE!</v>
      </c>
      <c r="AT9" s="105"/>
      <c r="AU9" s="105"/>
      <c r="AV9" s="61" t="e">
        <f>SUM(AM9:AO9)-AS9+AT9</f>
        <v>#VALUE!</v>
      </c>
      <c r="AW9" s="61" t="e">
        <f t="shared" si="16"/>
        <v>#VALUE!</v>
      </c>
      <c r="AX9" s="61" t="e">
        <f t="shared" si="5"/>
        <v>#VALUE!</v>
      </c>
      <c r="AY9" s="61" t="e">
        <f t="shared" si="17"/>
        <v>#VALUE!</v>
      </c>
      <c r="AZ9" s="61" t="e">
        <f t="shared" si="18"/>
        <v>#VALUE!</v>
      </c>
      <c r="BA9" s="61" t="e">
        <f t="shared" si="19"/>
        <v>#VALUE!</v>
      </c>
      <c r="BB9" s="61">
        <f t="shared" si="20"/>
        <v>0</v>
      </c>
      <c r="BC9" s="105"/>
      <c r="BD9" s="62" t="e">
        <f t="shared" si="21"/>
        <v>#VALUE!</v>
      </c>
      <c r="BE9" s="105"/>
      <c r="BF9" s="115" t="s">
        <v>62</v>
      </c>
    </row>
    <row r="10" spans="1:58">
      <c r="A10" s="59">
        <v>4</v>
      </c>
      <c r="B10" s="103"/>
      <c r="C10" s="104"/>
      <c r="D10" s="105"/>
      <c r="E10" s="104"/>
      <c r="F10" s="106"/>
      <c r="G10" s="107"/>
      <c r="H10" s="105"/>
      <c r="I10" s="105"/>
      <c r="J10" s="105"/>
      <c r="K10" s="105"/>
      <c r="L10" s="105"/>
      <c r="M10" s="105"/>
      <c r="N10" s="105"/>
      <c r="O10" s="105"/>
      <c r="P10" s="105"/>
      <c r="Q10" s="105"/>
      <c r="R10" s="105"/>
      <c r="S10" s="105"/>
      <c r="T10" s="105"/>
      <c r="U10" s="105"/>
      <c r="V10" s="105"/>
      <c r="W10" s="105"/>
      <c r="X10" s="105"/>
      <c r="Y10" s="105"/>
      <c r="Z10" s="105"/>
      <c r="AA10" s="105"/>
      <c r="AB10" s="105"/>
      <c r="AC10" s="105"/>
      <c r="AD10" s="105"/>
      <c r="AE10" s="105"/>
      <c r="AF10" s="105"/>
      <c r="AG10" s="105"/>
      <c r="AH10" s="105"/>
      <c r="AI10" s="105"/>
      <c r="AJ10" s="105"/>
      <c r="AK10" s="105"/>
      <c r="AL10" s="97"/>
      <c r="AM10" s="60">
        <f t="shared" si="11"/>
        <v>0</v>
      </c>
      <c r="AN10" s="61">
        <f t="shared" si="12"/>
        <v>0</v>
      </c>
      <c r="AO10" s="61">
        <f t="shared" si="13"/>
        <v>0</v>
      </c>
      <c r="AP10" s="61"/>
      <c r="AQ10" s="61"/>
      <c r="AR10" s="61"/>
      <c r="AS10" s="61" t="e">
        <f t="shared" si="14"/>
        <v>#VALUE!</v>
      </c>
      <c r="AT10" s="105"/>
      <c r="AU10" s="105"/>
      <c r="AV10" s="61" t="e">
        <f t="shared" ref="AV10:AV11" si="22">SUM(AM10:AO10)-AS10+AT10</f>
        <v>#VALUE!</v>
      </c>
      <c r="AW10" s="61" t="e">
        <f t="shared" si="16"/>
        <v>#VALUE!</v>
      </c>
      <c r="AX10" s="61" t="e">
        <f t="shared" si="5"/>
        <v>#VALUE!</v>
      </c>
      <c r="AY10" s="61" t="e">
        <f t="shared" si="17"/>
        <v>#VALUE!</v>
      </c>
      <c r="AZ10" s="61" t="e">
        <f t="shared" si="18"/>
        <v>#VALUE!</v>
      </c>
      <c r="BA10" s="61" t="e">
        <f t="shared" si="19"/>
        <v>#VALUE!</v>
      </c>
      <c r="BB10" s="61">
        <f t="shared" si="20"/>
        <v>0</v>
      </c>
      <c r="BC10" s="105"/>
      <c r="BD10" s="62" t="e">
        <f t="shared" si="21"/>
        <v>#VALUE!</v>
      </c>
      <c r="BE10" s="105"/>
      <c r="BF10" s="115" t="s">
        <v>62</v>
      </c>
    </row>
    <row r="11" spans="1:58">
      <c r="A11" s="59">
        <v>5</v>
      </c>
      <c r="B11" s="103"/>
      <c r="C11" s="104"/>
      <c r="D11" s="105"/>
      <c r="E11" s="104"/>
      <c r="F11" s="106"/>
      <c r="G11" s="107"/>
      <c r="H11" s="105"/>
      <c r="I11" s="105"/>
      <c r="J11" s="105"/>
      <c r="K11" s="105"/>
      <c r="L11" s="105"/>
      <c r="M11" s="105"/>
      <c r="N11" s="105"/>
      <c r="O11" s="105"/>
      <c r="P11" s="105"/>
      <c r="Q11" s="105"/>
      <c r="R11" s="105"/>
      <c r="S11" s="105"/>
      <c r="T11" s="105"/>
      <c r="U11" s="105"/>
      <c r="V11" s="105"/>
      <c r="W11" s="105"/>
      <c r="X11" s="105"/>
      <c r="Y11" s="105"/>
      <c r="Z11" s="105"/>
      <c r="AA11" s="105"/>
      <c r="AB11" s="105"/>
      <c r="AC11" s="105"/>
      <c r="AD11" s="105"/>
      <c r="AE11" s="105"/>
      <c r="AF11" s="105"/>
      <c r="AG11" s="105"/>
      <c r="AH11" s="105"/>
      <c r="AI11" s="105"/>
      <c r="AJ11" s="105"/>
      <c r="AK11" s="105"/>
      <c r="AL11" s="97"/>
      <c r="AM11" s="60">
        <f t="shared" si="11"/>
        <v>0</v>
      </c>
      <c r="AN11" s="61">
        <f t="shared" si="12"/>
        <v>0</v>
      </c>
      <c r="AO11" s="61">
        <f t="shared" si="13"/>
        <v>0</v>
      </c>
      <c r="AP11" s="61"/>
      <c r="AQ11" s="61"/>
      <c r="AR11" s="61"/>
      <c r="AS11" s="61" t="e">
        <f t="shared" si="14"/>
        <v>#VALUE!</v>
      </c>
      <c r="AT11" s="105"/>
      <c r="AU11" s="105"/>
      <c r="AV11" s="61" t="e">
        <f t="shared" si="22"/>
        <v>#VALUE!</v>
      </c>
      <c r="AW11" s="61" t="e">
        <f t="shared" si="16"/>
        <v>#VALUE!</v>
      </c>
      <c r="AX11" s="61" t="e">
        <f t="shared" si="5"/>
        <v>#VALUE!</v>
      </c>
      <c r="AY11" s="61" t="e">
        <f t="shared" si="17"/>
        <v>#VALUE!</v>
      </c>
      <c r="AZ11" s="61" t="e">
        <f t="shared" si="18"/>
        <v>#VALUE!</v>
      </c>
      <c r="BA11" s="61" t="e">
        <f t="shared" si="19"/>
        <v>#VALUE!</v>
      </c>
      <c r="BB11" s="61">
        <f t="shared" si="20"/>
        <v>0</v>
      </c>
      <c r="BC11" s="105"/>
      <c r="BD11" s="62" t="e">
        <f t="shared" si="21"/>
        <v>#VALUE!</v>
      </c>
      <c r="BE11" s="105"/>
      <c r="BF11" s="115" t="s">
        <v>62</v>
      </c>
    </row>
    <row r="12" spans="1:58">
      <c r="A12" s="59">
        <v>6</v>
      </c>
      <c r="B12" s="103"/>
      <c r="C12" s="104"/>
      <c r="D12" s="105"/>
      <c r="E12" s="104"/>
      <c r="F12" s="106"/>
      <c r="G12" s="107"/>
      <c r="H12" s="105"/>
      <c r="I12" s="105"/>
      <c r="J12" s="105"/>
      <c r="K12" s="105"/>
      <c r="L12" s="105"/>
      <c r="M12" s="105"/>
      <c r="N12" s="105"/>
      <c r="O12" s="105"/>
      <c r="P12" s="105"/>
      <c r="Q12" s="105"/>
      <c r="R12" s="105"/>
      <c r="S12" s="105"/>
      <c r="T12" s="105"/>
      <c r="U12" s="105"/>
      <c r="V12" s="105"/>
      <c r="W12" s="105"/>
      <c r="X12" s="105"/>
      <c r="Y12" s="105"/>
      <c r="Z12" s="105"/>
      <c r="AA12" s="105"/>
      <c r="AB12" s="105"/>
      <c r="AC12" s="105"/>
      <c r="AD12" s="105"/>
      <c r="AE12" s="105"/>
      <c r="AF12" s="105"/>
      <c r="AG12" s="105"/>
      <c r="AH12" s="105"/>
      <c r="AI12" s="105"/>
      <c r="AJ12" s="105"/>
      <c r="AK12" s="105"/>
      <c r="AL12" s="97"/>
      <c r="AM12" s="60">
        <f t="shared" si="11"/>
        <v>0</v>
      </c>
      <c r="AN12" s="61">
        <f t="shared" si="12"/>
        <v>0</v>
      </c>
      <c r="AO12" s="61">
        <f t="shared" si="13"/>
        <v>0</v>
      </c>
      <c r="AP12" s="61"/>
      <c r="AQ12" s="61"/>
      <c r="AR12" s="61"/>
      <c r="AS12" s="61" t="e">
        <f t="shared" si="14"/>
        <v>#VALUE!</v>
      </c>
      <c r="AT12" s="105"/>
      <c r="AU12" s="105"/>
      <c r="AV12" s="61" t="e">
        <f>SUM(AM12:AO12)-AS12+AT12</f>
        <v>#VALUE!</v>
      </c>
      <c r="AW12" s="61" t="e">
        <f t="shared" si="16"/>
        <v>#VALUE!</v>
      </c>
      <c r="AX12" s="61" t="e">
        <f t="shared" si="5"/>
        <v>#VALUE!</v>
      </c>
      <c r="AY12" s="61" t="e">
        <f t="shared" si="17"/>
        <v>#VALUE!</v>
      </c>
      <c r="AZ12" s="61" t="e">
        <f t="shared" si="18"/>
        <v>#VALUE!</v>
      </c>
      <c r="BA12" s="61" t="e">
        <f t="shared" si="19"/>
        <v>#VALUE!</v>
      </c>
      <c r="BB12" s="61">
        <f t="shared" si="20"/>
        <v>0</v>
      </c>
      <c r="BC12" s="105"/>
      <c r="BD12" s="62" t="e">
        <f t="shared" si="21"/>
        <v>#VALUE!</v>
      </c>
      <c r="BE12" s="105"/>
      <c r="BF12" s="115" t="s">
        <v>62</v>
      </c>
    </row>
    <row r="13" spans="1:58">
      <c r="A13" s="59">
        <v>7</v>
      </c>
      <c r="B13" s="103"/>
      <c r="C13" s="104"/>
      <c r="D13" s="105"/>
      <c r="E13" s="104"/>
      <c r="F13" s="106"/>
      <c r="G13" s="107"/>
      <c r="H13" s="105"/>
      <c r="I13" s="105"/>
      <c r="J13" s="105"/>
      <c r="K13" s="105"/>
      <c r="L13" s="105"/>
      <c r="M13" s="105"/>
      <c r="N13" s="105"/>
      <c r="O13" s="105"/>
      <c r="P13" s="105"/>
      <c r="Q13" s="105"/>
      <c r="R13" s="105"/>
      <c r="S13" s="105"/>
      <c r="T13" s="105"/>
      <c r="U13" s="105"/>
      <c r="V13" s="105"/>
      <c r="W13" s="105"/>
      <c r="X13" s="105"/>
      <c r="Y13" s="105"/>
      <c r="Z13" s="105"/>
      <c r="AA13" s="105"/>
      <c r="AB13" s="105"/>
      <c r="AC13" s="105"/>
      <c r="AD13" s="105"/>
      <c r="AE13" s="105"/>
      <c r="AF13" s="105"/>
      <c r="AG13" s="105"/>
      <c r="AH13" s="105"/>
      <c r="AI13" s="105"/>
      <c r="AJ13" s="105"/>
      <c r="AK13" s="105"/>
      <c r="AL13" s="97"/>
      <c r="AM13" s="60">
        <f t="shared" si="11"/>
        <v>0</v>
      </c>
      <c r="AN13" s="61">
        <f t="shared" si="12"/>
        <v>0</v>
      </c>
      <c r="AO13" s="61">
        <f t="shared" si="13"/>
        <v>0</v>
      </c>
      <c r="AP13" s="61"/>
      <c r="AQ13" s="61"/>
      <c r="AR13" s="61"/>
      <c r="AS13" s="61" t="e">
        <f t="shared" si="14"/>
        <v>#VALUE!</v>
      </c>
      <c r="AT13" s="105"/>
      <c r="AU13" s="105"/>
      <c r="AV13" s="61" t="e">
        <f t="shared" ref="AV13:AV14" si="23">SUM(AM13:AO13)-AS13+AT13</f>
        <v>#VALUE!</v>
      </c>
      <c r="AW13" s="61" t="e">
        <f t="shared" si="16"/>
        <v>#VALUE!</v>
      </c>
      <c r="AX13" s="61" t="e">
        <f t="shared" si="5"/>
        <v>#VALUE!</v>
      </c>
      <c r="AY13" s="61" t="e">
        <f t="shared" si="17"/>
        <v>#VALUE!</v>
      </c>
      <c r="AZ13" s="61" t="e">
        <f t="shared" si="18"/>
        <v>#VALUE!</v>
      </c>
      <c r="BA13" s="61" t="e">
        <f t="shared" si="19"/>
        <v>#VALUE!</v>
      </c>
      <c r="BB13" s="61">
        <f t="shared" si="20"/>
        <v>0</v>
      </c>
      <c r="BC13" s="105"/>
      <c r="BD13" s="62" t="e">
        <f t="shared" si="21"/>
        <v>#VALUE!</v>
      </c>
      <c r="BE13" s="105"/>
      <c r="BF13" s="115" t="s">
        <v>62</v>
      </c>
    </row>
    <row r="14" spans="1:58">
      <c r="A14" s="59">
        <v>8</v>
      </c>
      <c r="B14" s="103"/>
      <c r="C14" s="104"/>
      <c r="D14" s="105"/>
      <c r="E14" s="104"/>
      <c r="F14" s="106"/>
      <c r="G14" s="107"/>
      <c r="H14" s="105"/>
      <c r="I14" s="105"/>
      <c r="J14" s="105"/>
      <c r="K14" s="105"/>
      <c r="L14" s="105"/>
      <c r="M14" s="105"/>
      <c r="N14" s="105"/>
      <c r="O14" s="105"/>
      <c r="P14" s="105"/>
      <c r="Q14" s="105"/>
      <c r="R14" s="105"/>
      <c r="S14" s="105"/>
      <c r="T14" s="105"/>
      <c r="U14" s="105"/>
      <c r="V14" s="105"/>
      <c r="W14" s="105"/>
      <c r="X14" s="105"/>
      <c r="Y14" s="105"/>
      <c r="Z14" s="105"/>
      <c r="AA14" s="105"/>
      <c r="AB14" s="105"/>
      <c r="AC14" s="105"/>
      <c r="AD14" s="105"/>
      <c r="AE14" s="105"/>
      <c r="AF14" s="105"/>
      <c r="AG14" s="105"/>
      <c r="AH14" s="105"/>
      <c r="AI14" s="105"/>
      <c r="AJ14" s="105"/>
      <c r="AK14" s="105"/>
      <c r="AL14" s="97"/>
      <c r="AM14" s="60">
        <f t="shared" si="11"/>
        <v>0</v>
      </c>
      <c r="AN14" s="61">
        <f t="shared" si="12"/>
        <v>0</v>
      </c>
      <c r="AO14" s="61">
        <f t="shared" si="13"/>
        <v>0</v>
      </c>
      <c r="AP14" s="61"/>
      <c r="AQ14" s="61"/>
      <c r="AR14" s="61"/>
      <c r="AS14" s="61" t="e">
        <f t="shared" si="14"/>
        <v>#VALUE!</v>
      </c>
      <c r="AT14" s="105"/>
      <c r="AU14" s="105"/>
      <c r="AV14" s="61" t="e">
        <f t="shared" si="23"/>
        <v>#VALUE!</v>
      </c>
      <c r="AW14" s="61" t="e">
        <f t="shared" si="16"/>
        <v>#VALUE!</v>
      </c>
      <c r="AX14" s="61" t="e">
        <f t="shared" si="5"/>
        <v>#VALUE!</v>
      </c>
      <c r="AY14" s="61" t="e">
        <f t="shared" si="17"/>
        <v>#VALUE!</v>
      </c>
      <c r="AZ14" s="61" t="e">
        <f t="shared" si="18"/>
        <v>#VALUE!</v>
      </c>
      <c r="BA14" s="61" t="e">
        <f t="shared" si="19"/>
        <v>#VALUE!</v>
      </c>
      <c r="BB14" s="61">
        <f t="shared" si="20"/>
        <v>0</v>
      </c>
      <c r="BC14" s="105"/>
      <c r="BD14" s="62" t="e">
        <f t="shared" si="21"/>
        <v>#VALUE!</v>
      </c>
      <c r="BE14" s="105"/>
      <c r="BF14" s="115" t="s">
        <v>62</v>
      </c>
    </row>
    <row r="15" spans="1:58">
      <c r="A15" s="59">
        <v>9</v>
      </c>
      <c r="B15" s="103"/>
      <c r="C15" s="104"/>
      <c r="D15" s="105"/>
      <c r="E15" s="104"/>
      <c r="F15" s="106"/>
      <c r="G15" s="107"/>
      <c r="H15" s="105"/>
      <c r="I15" s="105"/>
      <c r="J15" s="105"/>
      <c r="K15" s="105"/>
      <c r="L15" s="105"/>
      <c r="M15" s="105"/>
      <c r="N15" s="105"/>
      <c r="O15" s="105"/>
      <c r="P15" s="105"/>
      <c r="Q15" s="105"/>
      <c r="R15" s="105"/>
      <c r="S15" s="105"/>
      <c r="T15" s="105"/>
      <c r="U15" s="105"/>
      <c r="V15" s="105"/>
      <c r="W15" s="105"/>
      <c r="X15" s="105"/>
      <c r="Y15" s="105"/>
      <c r="Z15" s="105"/>
      <c r="AA15" s="105"/>
      <c r="AB15" s="105"/>
      <c r="AC15" s="105"/>
      <c r="AD15" s="105"/>
      <c r="AE15" s="105"/>
      <c r="AF15" s="105"/>
      <c r="AG15" s="105"/>
      <c r="AH15" s="105"/>
      <c r="AI15" s="105"/>
      <c r="AJ15" s="105"/>
      <c r="AK15" s="105"/>
      <c r="AL15" s="97"/>
      <c r="AM15" s="60">
        <f t="shared" si="11"/>
        <v>0</v>
      </c>
      <c r="AN15" s="61">
        <f t="shared" si="12"/>
        <v>0</v>
      </c>
      <c r="AO15" s="61">
        <f t="shared" si="13"/>
        <v>0</v>
      </c>
      <c r="AP15" s="61"/>
      <c r="AQ15" s="61"/>
      <c r="AR15" s="61"/>
      <c r="AS15" s="61" t="e">
        <f t="shared" si="14"/>
        <v>#VALUE!</v>
      </c>
      <c r="AT15" s="105"/>
      <c r="AU15" s="105"/>
      <c r="AV15" s="61" t="e">
        <f>SUM(AM15:AO15)-AS15+AT15</f>
        <v>#VALUE!</v>
      </c>
      <c r="AW15" s="61" t="e">
        <f t="shared" si="16"/>
        <v>#VALUE!</v>
      </c>
      <c r="AX15" s="61" t="e">
        <f t="shared" si="5"/>
        <v>#VALUE!</v>
      </c>
      <c r="AY15" s="61" t="e">
        <f t="shared" si="17"/>
        <v>#VALUE!</v>
      </c>
      <c r="AZ15" s="61" t="e">
        <f t="shared" si="18"/>
        <v>#VALUE!</v>
      </c>
      <c r="BA15" s="61" t="e">
        <f t="shared" si="19"/>
        <v>#VALUE!</v>
      </c>
      <c r="BB15" s="61">
        <f t="shared" si="20"/>
        <v>0</v>
      </c>
      <c r="BC15" s="105"/>
      <c r="BD15" s="62" t="e">
        <f t="shared" si="21"/>
        <v>#VALUE!</v>
      </c>
      <c r="BE15" s="105"/>
      <c r="BF15" s="115" t="s">
        <v>62</v>
      </c>
    </row>
    <row r="16" spans="1:58">
      <c r="A16" s="59">
        <v>10</v>
      </c>
      <c r="B16" s="103"/>
      <c r="C16" s="104"/>
      <c r="D16" s="105"/>
      <c r="E16" s="104"/>
      <c r="F16" s="106"/>
      <c r="G16" s="107"/>
      <c r="H16" s="105"/>
      <c r="I16" s="105"/>
      <c r="J16" s="105"/>
      <c r="K16" s="105"/>
      <c r="L16" s="105"/>
      <c r="M16" s="105"/>
      <c r="N16" s="105"/>
      <c r="O16" s="105"/>
      <c r="P16" s="105"/>
      <c r="Q16" s="105"/>
      <c r="R16" s="105"/>
      <c r="S16" s="105"/>
      <c r="T16" s="105"/>
      <c r="U16" s="105"/>
      <c r="V16" s="105"/>
      <c r="W16" s="105"/>
      <c r="X16" s="105"/>
      <c r="Y16" s="105"/>
      <c r="Z16" s="105"/>
      <c r="AA16" s="105"/>
      <c r="AB16" s="105"/>
      <c r="AC16" s="105"/>
      <c r="AD16" s="105"/>
      <c r="AE16" s="105"/>
      <c r="AF16" s="105"/>
      <c r="AG16" s="105"/>
      <c r="AH16" s="105"/>
      <c r="AI16" s="105"/>
      <c r="AJ16" s="105"/>
      <c r="AK16" s="105"/>
      <c r="AL16" s="97"/>
      <c r="AM16" s="60">
        <f t="shared" si="11"/>
        <v>0</v>
      </c>
      <c r="AN16" s="61">
        <f t="shared" si="12"/>
        <v>0</v>
      </c>
      <c r="AO16" s="61">
        <f t="shared" si="13"/>
        <v>0</v>
      </c>
      <c r="AP16" s="61"/>
      <c r="AQ16" s="61"/>
      <c r="AR16" s="61"/>
      <c r="AS16" s="61" t="e">
        <f t="shared" si="14"/>
        <v>#VALUE!</v>
      </c>
      <c r="AT16" s="105"/>
      <c r="AU16" s="105"/>
      <c r="AV16" s="61" t="e">
        <f t="shared" ref="AV16:AV17" si="24">SUM(AM16:AO16)-AS16+AT16</f>
        <v>#VALUE!</v>
      </c>
      <c r="AW16" s="61" t="e">
        <f t="shared" si="16"/>
        <v>#VALUE!</v>
      </c>
      <c r="AX16" s="61" t="e">
        <f t="shared" si="5"/>
        <v>#VALUE!</v>
      </c>
      <c r="AY16" s="61" t="e">
        <f t="shared" si="17"/>
        <v>#VALUE!</v>
      </c>
      <c r="AZ16" s="61" t="e">
        <f t="shared" si="18"/>
        <v>#VALUE!</v>
      </c>
      <c r="BA16" s="61" t="e">
        <f t="shared" si="19"/>
        <v>#VALUE!</v>
      </c>
      <c r="BB16" s="61">
        <f t="shared" si="20"/>
        <v>0</v>
      </c>
      <c r="BC16" s="105"/>
      <c r="BD16" s="62" t="e">
        <f t="shared" si="21"/>
        <v>#VALUE!</v>
      </c>
      <c r="BE16" s="105"/>
      <c r="BF16" s="115" t="s">
        <v>62</v>
      </c>
    </row>
    <row r="17" spans="1:58">
      <c r="A17" s="59">
        <v>11</v>
      </c>
      <c r="B17" s="103"/>
      <c r="C17" s="104"/>
      <c r="D17" s="105"/>
      <c r="E17" s="104"/>
      <c r="F17" s="106"/>
      <c r="G17" s="107"/>
      <c r="H17" s="105"/>
      <c r="I17" s="105"/>
      <c r="J17" s="105"/>
      <c r="K17" s="105"/>
      <c r="L17" s="105"/>
      <c r="M17" s="105"/>
      <c r="N17" s="105"/>
      <c r="O17" s="105"/>
      <c r="P17" s="105"/>
      <c r="Q17" s="105"/>
      <c r="R17" s="105"/>
      <c r="S17" s="105"/>
      <c r="T17" s="105"/>
      <c r="U17" s="105"/>
      <c r="V17" s="105"/>
      <c r="W17" s="105"/>
      <c r="X17" s="105"/>
      <c r="Y17" s="105"/>
      <c r="Z17" s="105"/>
      <c r="AA17" s="105"/>
      <c r="AB17" s="105"/>
      <c r="AC17" s="105"/>
      <c r="AD17" s="105"/>
      <c r="AE17" s="105"/>
      <c r="AF17" s="105"/>
      <c r="AG17" s="105"/>
      <c r="AH17" s="105"/>
      <c r="AI17" s="105"/>
      <c r="AJ17" s="105"/>
      <c r="AK17" s="105"/>
      <c r="AL17" s="97"/>
      <c r="AM17" s="60">
        <f t="shared" si="11"/>
        <v>0</v>
      </c>
      <c r="AN17" s="61">
        <f t="shared" si="12"/>
        <v>0</v>
      </c>
      <c r="AO17" s="61">
        <f t="shared" si="13"/>
        <v>0</v>
      </c>
      <c r="AP17" s="61"/>
      <c r="AQ17" s="61"/>
      <c r="AR17" s="61"/>
      <c r="AS17" s="61" t="e">
        <f t="shared" si="14"/>
        <v>#VALUE!</v>
      </c>
      <c r="AT17" s="105"/>
      <c r="AU17" s="105"/>
      <c r="AV17" s="61" t="e">
        <f t="shared" si="24"/>
        <v>#VALUE!</v>
      </c>
      <c r="AW17" s="61" t="e">
        <f t="shared" si="16"/>
        <v>#VALUE!</v>
      </c>
      <c r="AX17" s="61" t="e">
        <f t="shared" si="5"/>
        <v>#VALUE!</v>
      </c>
      <c r="AY17" s="61" t="e">
        <f t="shared" si="17"/>
        <v>#VALUE!</v>
      </c>
      <c r="AZ17" s="61" t="e">
        <f t="shared" si="18"/>
        <v>#VALUE!</v>
      </c>
      <c r="BA17" s="61" t="e">
        <f t="shared" si="19"/>
        <v>#VALUE!</v>
      </c>
      <c r="BB17" s="61">
        <f t="shared" si="20"/>
        <v>0</v>
      </c>
      <c r="BC17" s="105"/>
      <c r="BD17" s="62" t="e">
        <f t="shared" si="21"/>
        <v>#VALUE!</v>
      </c>
      <c r="BE17" s="105"/>
      <c r="BF17" s="115" t="s">
        <v>62</v>
      </c>
    </row>
    <row r="18" spans="1:58">
      <c r="A18" s="59">
        <v>12</v>
      </c>
      <c r="B18" s="103"/>
      <c r="C18" s="104"/>
      <c r="D18" s="105"/>
      <c r="E18" s="104"/>
      <c r="F18" s="106"/>
      <c r="G18" s="107"/>
      <c r="H18" s="105"/>
      <c r="I18" s="105"/>
      <c r="J18" s="105"/>
      <c r="K18" s="105"/>
      <c r="L18" s="105"/>
      <c r="M18" s="105"/>
      <c r="N18" s="105"/>
      <c r="O18" s="105"/>
      <c r="P18" s="105"/>
      <c r="Q18" s="105"/>
      <c r="R18" s="105"/>
      <c r="S18" s="105"/>
      <c r="T18" s="105"/>
      <c r="U18" s="105"/>
      <c r="V18" s="105"/>
      <c r="W18" s="105"/>
      <c r="X18" s="105"/>
      <c r="Y18" s="105"/>
      <c r="Z18" s="105"/>
      <c r="AA18" s="105"/>
      <c r="AB18" s="105"/>
      <c r="AC18" s="105"/>
      <c r="AD18" s="105"/>
      <c r="AE18" s="105"/>
      <c r="AF18" s="105"/>
      <c r="AG18" s="105"/>
      <c r="AH18" s="105"/>
      <c r="AI18" s="105"/>
      <c r="AJ18" s="105"/>
      <c r="AK18" s="105"/>
      <c r="AL18" s="97"/>
      <c r="AM18" s="60">
        <f t="shared" si="11"/>
        <v>0</v>
      </c>
      <c r="AN18" s="61">
        <f t="shared" si="12"/>
        <v>0</v>
      </c>
      <c r="AO18" s="61">
        <f t="shared" si="13"/>
        <v>0</v>
      </c>
      <c r="AP18" s="61"/>
      <c r="AQ18" s="61"/>
      <c r="AR18" s="61"/>
      <c r="AS18" s="61" t="e">
        <f t="shared" si="14"/>
        <v>#VALUE!</v>
      </c>
      <c r="AT18" s="105"/>
      <c r="AU18" s="105"/>
      <c r="AV18" s="61" t="e">
        <f t="shared" ref="AV18:AV19" si="25">SUM(AM18:AO18)-AS18+AT18</f>
        <v>#VALUE!</v>
      </c>
      <c r="AW18" s="61" t="e">
        <f t="shared" si="16"/>
        <v>#VALUE!</v>
      </c>
      <c r="AX18" s="61" t="e">
        <f t="shared" si="5"/>
        <v>#VALUE!</v>
      </c>
      <c r="AY18" s="61" t="e">
        <f t="shared" si="17"/>
        <v>#VALUE!</v>
      </c>
      <c r="AZ18" s="61" t="e">
        <f t="shared" si="18"/>
        <v>#VALUE!</v>
      </c>
      <c r="BA18" s="61" t="e">
        <f t="shared" si="19"/>
        <v>#VALUE!</v>
      </c>
      <c r="BB18" s="61">
        <f t="shared" si="20"/>
        <v>0</v>
      </c>
      <c r="BC18" s="105"/>
      <c r="BD18" s="62" t="e">
        <f t="shared" si="21"/>
        <v>#VALUE!</v>
      </c>
      <c r="BE18" s="105"/>
      <c r="BF18" s="115" t="s">
        <v>62</v>
      </c>
    </row>
    <row r="19" spans="1:58">
      <c r="A19" s="59">
        <v>13</v>
      </c>
      <c r="B19" s="103"/>
      <c r="C19" s="104"/>
      <c r="D19" s="105"/>
      <c r="E19" s="104"/>
      <c r="F19" s="106"/>
      <c r="G19" s="107"/>
      <c r="H19" s="105"/>
      <c r="I19" s="105"/>
      <c r="J19" s="105"/>
      <c r="K19" s="105"/>
      <c r="L19" s="105"/>
      <c r="M19" s="105"/>
      <c r="N19" s="105"/>
      <c r="O19" s="105"/>
      <c r="P19" s="105"/>
      <c r="Q19" s="105"/>
      <c r="R19" s="105"/>
      <c r="S19" s="105"/>
      <c r="T19" s="105"/>
      <c r="U19" s="105"/>
      <c r="V19" s="105"/>
      <c r="W19" s="105"/>
      <c r="X19" s="105"/>
      <c r="Y19" s="105"/>
      <c r="Z19" s="105"/>
      <c r="AA19" s="105"/>
      <c r="AB19" s="105"/>
      <c r="AC19" s="105"/>
      <c r="AD19" s="105"/>
      <c r="AE19" s="105"/>
      <c r="AF19" s="105"/>
      <c r="AG19" s="105"/>
      <c r="AH19" s="105"/>
      <c r="AI19" s="105"/>
      <c r="AJ19" s="105"/>
      <c r="AK19" s="105"/>
      <c r="AL19" s="97"/>
      <c r="AM19" s="60">
        <f t="shared" si="11"/>
        <v>0</v>
      </c>
      <c r="AN19" s="61">
        <f t="shared" si="12"/>
        <v>0</v>
      </c>
      <c r="AO19" s="61">
        <f t="shared" si="13"/>
        <v>0</v>
      </c>
      <c r="AP19" s="61"/>
      <c r="AQ19" s="61"/>
      <c r="AR19" s="61"/>
      <c r="AS19" s="61" t="e">
        <f t="shared" si="14"/>
        <v>#VALUE!</v>
      </c>
      <c r="AT19" s="105"/>
      <c r="AU19" s="105"/>
      <c r="AV19" s="61" t="e">
        <f t="shared" si="25"/>
        <v>#VALUE!</v>
      </c>
      <c r="AW19" s="61" t="e">
        <f t="shared" si="16"/>
        <v>#VALUE!</v>
      </c>
      <c r="AX19" s="61" t="e">
        <f t="shared" si="5"/>
        <v>#VALUE!</v>
      </c>
      <c r="AY19" s="61" t="e">
        <f t="shared" si="17"/>
        <v>#VALUE!</v>
      </c>
      <c r="AZ19" s="61" t="e">
        <f t="shared" si="18"/>
        <v>#VALUE!</v>
      </c>
      <c r="BA19" s="61" t="e">
        <f t="shared" si="19"/>
        <v>#VALUE!</v>
      </c>
      <c r="BB19" s="61">
        <f t="shared" si="20"/>
        <v>0</v>
      </c>
      <c r="BC19" s="105"/>
      <c r="BD19" s="62" t="e">
        <f t="shared" si="21"/>
        <v>#VALUE!</v>
      </c>
      <c r="BE19" s="105"/>
      <c r="BF19" s="115" t="s">
        <v>62</v>
      </c>
    </row>
    <row r="20" spans="1:58">
      <c r="A20" s="59">
        <v>14</v>
      </c>
      <c r="B20" s="103"/>
      <c r="C20" s="104"/>
      <c r="D20" s="105"/>
      <c r="E20" s="104"/>
      <c r="F20" s="106"/>
      <c r="G20" s="107"/>
      <c r="H20" s="105"/>
      <c r="I20" s="105"/>
      <c r="J20" s="105"/>
      <c r="K20" s="105"/>
      <c r="L20" s="105"/>
      <c r="M20" s="105"/>
      <c r="N20" s="105"/>
      <c r="O20" s="105"/>
      <c r="P20" s="105"/>
      <c r="Q20" s="105"/>
      <c r="R20" s="105"/>
      <c r="S20" s="105"/>
      <c r="T20" s="105"/>
      <c r="U20" s="105"/>
      <c r="V20" s="105"/>
      <c r="W20" s="105"/>
      <c r="X20" s="105"/>
      <c r="Y20" s="105"/>
      <c r="Z20" s="105"/>
      <c r="AA20" s="105"/>
      <c r="AB20" s="105"/>
      <c r="AC20" s="105"/>
      <c r="AD20" s="105"/>
      <c r="AE20" s="105"/>
      <c r="AF20" s="105"/>
      <c r="AG20" s="105"/>
      <c r="AH20" s="105"/>
      <c r="AI20" s="105"/>
      <c r="AJ20" s="105"/>
      <c r="AK20" s="105"/>
      <c r="AL20" s="97"/>
      <c r="AM20" s="60">
        <f t="shared" si="11"/>
        <v>0</v>
      </c>
      <c r="AN20" s="61">
        <f t="shared" si="12"/>
        <v>0</v>
      </c>
      <c r="AO20" s="61">
        <f t="shared" si="13"/>
        <v>0</v>
      </c>
      <c r="AP20" s="61"/>
      <c r="AQ20" s="61"/>
      <c r="AR20" s="61"/>
      <c r="AS20" s="61" t="e">
        <f t="shared" si="14"/>
        <v>#VALUE!</v>
      </c>
      <c r="AT20" s="105"/>
      <c r="AU20" s="105"/>
      <c r="AV20" s="61" t="e">
        <f t="shared" ref="AV20:AV21" si="26">SUM(AM20:AO20)-AS20+AT20</f>
        <v>#VALUE!</v>
      </c>
      <c r="AW20" s="61" t="e">
        <f t="shared" si="16"/>
        <v>#VALUE!</v>
      </c>
      <c r="AX20" s="61" t="e">
        <f t="shared" si="5"/>
        <v>#VALUE!</v>
      </c>
      <c r="AY20" s="61" t="e">
        <f t="shared" si="17"/>
        <v>#VALUE!</v>
      </c>
      <c r="AZ20" s="61" t="e">
        <f t="shared" si="18"/>
        <v>#VALUE!</v>
      </c>
      <c r="BA20" s="61" t="e">
        <f t="shared" si="19"/>
        <v>#VALUE!</v>
      </c>
      <c r="BB20" s="61">
        <f t="shared" si="20"/>
        <v>0</v>
      </c>
      <c r="BC20" s="105"/>
      <c r="BD20" s="62" t="e">
        <f t="shared" si="21"/>
        <v>#VALUE!</v>
      </c>
      <c r="BE20" s="105"/>
      <c r="BF20" s="115" t="s">
        <v>62</v>
      </c>
    </row>
    <row r="21" spans="1:58">
      <c r="A21" s="59">
        <v>15</v>
      </c>
      <c r="B21" s="103"/>
      <c r="C21" s="104"/>
      <c r="D21" s="105"/>
      <c r="E21" s="104"/>
      <c r="F21" s="106"/>
      <c r="G21" s="107"/>
      <c r="H21" s="105"/>
      <c r="I21" s="105"/>
      <c r="J21" s="105"/>
      <c r="K21" s="105"/>
      <c r="L21" s="105"/>
      <c r="M21" s="105"/>
      <c r="N21" s="105"/>
      <c r="O21" s="105"/>
      <c r="P21" s="105"/>
      <c r="Q21" s="105"/>
      <c r="R21" s="105"/>
      <c r="S21" s="105"/>
      <c r="T21" s="105"/>
      <c r="U21" s="105"/>
      <c r="V21" s="105"/>
      <c r="W21" s="105"/>
      <c r="X21" s="105"/>
      <c r="Y21" s="105"/>
      <c r="Z21" s="105"/>
      <c r="AA21" s="105"/>
      <c r="AB21" s="105"/>
      <c r="AC21" s="105"/>
      <c r="AD21" s="105"/>
      <c r="AE21" s="105"/>
      <c r="AF21" s="105"/>
      <c r="AG21" s="105"/>
      <c r="AH21" s="105"/>
      <c r="AI21" s="105"/>
      <c r="AJ21" s="105"/>
      <c r="AK21" s="105"/>
      <c r="AL21" s="97"/>
      <c r="AM21" s="60">
        <f t="shared" si="11"/>
        <v>0</v>
      </c>
      <c r="AN21" s="61">
        <f t="shared" si="12"/>
        <v>0</v>
      </c>
      <c r="AO21" s="61">
        <f t="shared" si="13"/>
        <v>0</v>
      </c>
      <c r="AP21" s="61"/>
      <c r="AQ21" s="61"/>
      <c r="AR21" s="61"/>
      <c r="AS21" s="61" t="e">
        <f t="shared" si="14"/>
        <v>#VALUE!</v>
      </c>
      <c r="AT21" s="105"/>
      <c r="AU21" s="105"/>
      <c r="AV21" s="61" t="e">
        <f t="shared" si="26"/>
        <v>#VALUE!</v>
      </c>
      <c r="AW21" s="61" t="e">
        <f t="shared" si="16"/>
        <v>#VALUE!</v>
      </c>
      <c r="AX21" s="61" t="e">
        <f t="shared" si="5"/>
        <v>#VALUE!</v>
      </c>
      <c r="AY21" s="61" t="e">
        <f t="shared" si="17"/>
        <v>#VALUE!</v>
      </c>
      <c r="AZ21" s="61" t="e">
        <f t="shared" si="18"/>
        <v>#VALUE!</v>
      </c>
      <c r="BA21" s="61" t="e">
        <f t="shared" si="19"/>
        <v>#VALUE!</v>
      </c>
      <c r="BB21" s="61">
        <f t="shared" si="20"/>
        <v>0</v>
      </c>
      <c r="BC21" s="105"/>
      <c r="BD21" s="62" t="e">
        <f t="shared" si="21"/>
        <v>#VALUE!</v>
      </c>
      <c r="BE21" s="105"/>
      <c r="BF21" s="115" t="s">
        <v>62</v>
      </c>
    </row>
    <row r="22" spans="1:58">
      <c r="A22" s="59">
        <v>16</v>
      </c>
      <c r="B22" s="103"/>
      <c r="C22" s="104"/>
      <c r="D22" s="105"/>
      <c r="E22" s="104"/>
      <c r="F22" s="106"/>
      <c r="G22" s="107"/>
      <c r="H22" s="105"/>
      <c r="I22" s="105"/>
      <c r="J22" s="105"/>
      <c r="K22" s="105"/>
      <c r="L22" s="105"/>
      <c r="M22" s="105"/>
      <c r="N22" s="105"/>
      <c r="O22" s="105"/>
      <c r="P22" s="105"/>
      <c r="Q22" s="105"/>
      <c r="R22" s="105"/>
      <c r="S22" s="105"/>
      <c r="T22" s="105"/>
      <c r="U22" s="105"/>
      <c r="V22" s="105"/>
      <c r="W22" s="105"/>
      <c r="X22" s="105"/>
      <c r="Y22" s="105"/>
      <c r="Z22" s="105"/>
      <c r="AA22" s="105"/>
      <c r="AB22" s="105"/>
      <c r="AC22" s="105"/>
      <c r="AD22" s="105"/>
      <c r="AE22" s="105"/>
      <c r="AF22" s="105"/>
      <c r="AG22" s="105"/>
      <c r="AH22" s="105"/>
      <c r="AI22" s="105"/>
      <c r="AJ22" s="105"/>
      <c r="AK22" s="105"/>
      <c r="AL22" s="97"/>
      <c r="AM22" s="60">
        <f t="shared" ref="AM22:AM36" si="27">COUNTIFS(G22:AK22,"日",$G$4:$AK$4,"&lt;="&amp;$D$2)*12</f>
        <v>0</v>
      </c>
      <c r="AN22" s="61">
        <f t="shared" ref="AN22:AN36" si="28">COUNTIFS(G22:AK22,"夜",$G$4:$AK$4,"&lt;="&amp;$D$2)*12</f>
        <v>0</v>
      </c>
      <c r="AO22" s="61">
        <f t="shared" ref="AO22:AO36" si="29">COUNTIFS(G22:AK22,"常",$G$4:$AK$4,"&lt;="&amp;$D$2)*8</f>
        <v>0</v>
      </c>
      <c r="AP22" s="61"/>
      <c r="AQ22" s="61"/>
      <c r="AR22" s="61"/>
      <c r="AS22" s="61" t="e">
        <f t="shared" ref="AS22:AS36" si="30">COUNTIFS(G22:AK22,"日",$G$4:$AK$4,"&lt;="&amp;$D$2,$G$5:$AK$5,"PH")*12+COUNTIFS(G22:AK22,"常",$G$4:$AK$4,"&lt;="&amp;$D$2,$G$5:$AK$5,"PH")*8+COUNTIFS(G22:AK22,"夜",$G$4:$AK$4,"&lt;="&amp;$D$2,$G$5:$AK$5,"PH")*3.5+
IF(AND(G22="夜",$H$5="PH",$G$4&lt;=$D$2),8.5,0)+IF(AND(H22="夜",$I$5="PH",$H$4&lt;=$D$2),8.5,0)+IF(AND(I22="夜",$J$5="PH",$I$4&lt;=$D$2),8.5,0)+IF(AND(J22="夜",$K$5="PH",$J$4&lt;=$D$2),8.5,0)+IF(AND(K22="夜",$L$5="PH",$K$4&lt;=$D$2),8.5,0)+IF(AND(L22="夜",$M$5="PH",$L$4&lt;=$D$2),8.5,0)+IF(AND(M22="夜",$N$5="PH",$M$4&lt;=$D$2),8.5,0)+IF(AND(N22="夜",$O$5="PH",$N$4&lt;=$D$2),8.5,0)+IF(AND(O22="夜",$P$5="PH",$O$4&lt;=$D$2),8.5,0)+IF(AND(P22="夜",$Q$5="PH",$P$4&lt;=$D$2),8.5,0)+IF(AND(Q22="夜",$R$5="PH",$Q$4&lt;=$D$2),8.5,0)+IF(AND(R22="夜",$S$5="PH",$R$4&lt;=$D$2),8.5,0)+IF(AND(S22="夜",$T$5="PH",$S$4&lt;=$D$2),8.5,0)+IF(AND(T22="夜",$U$5="PH",$T$4&lt;=$D$2),8.5,0)+IF(AND(U22="夜",$V$5="PH",$U$4&lt;=$D$2),8.5,0)+IF(AND(V22="夜",$W$5="PH",$V$4&lt;=$D$2),8.5,0)+IF(AND(W22="夜",$X$5="PH",$W$4&lt;=$D$2),8.5,0)+IF(AND(X22="夜",$Y$5="PH",$X$4&lt;=$D$2),8.5,0)+IF(AND(Y22="夜",$Z$5="PH",$Y$4&lt;=$D$2),8.5,0)+IF(AND(Z22="夜",$AA$5="PH",$Z$4&lt;=$D$2),8.5,0)+IF(AND(AA22="夜",$AB$5="PH",$AA$4&lt;=$D$2),8.5,0)+IF(AND(AB22="夜",$AC$5="PH",$AB$4&lt;=$D$2),8.5,0)+IF(AND(AC22="夜",$AD$5="PH",$AC$4&lt;=$D$2),8.5,0)+IF(AND(AD22="夜",$AE$5="PH",$AD$4&lt;=$D$2),8.5,0)+IF(AND(AE22="夜",$AF$5="PH",$AE$4&lt;=$D$2),8.5,0)+IF(AND(AF22="夜",$AG$5="PH",$AF$4&lt;=$D$2),8.5,0)+IF(AND(AG22="夜",$AH$5="PH",$AG$4&lt;=$D$2),8.5,0)+IF(AND(AH22="夜",$AI$5="PH",$AH$4&lt;=$D$2),8.5,0)+IF(AND(AI22="夜",$AJ$5="PH",$AI$4&lt;=$D$2),8.5,0)+IF(AND(AJ22="夜",$AK$5="PH",$AJ$4&lt;=$D$2),8.5,0)+IF(AND(AK22="夜",$AL$5="PH",$AK$4&lt;=$D$2),8.5,0)</f>
        <v>#VALUE!</v>
      </c>
      <c r="AT22" s="105"/>
      <c r="AU22" s="105"/>
      <c r="AV22" s="61" t="e">
        <f t="shared" ref="AV22:AV36" si="31">SUM(AM22:AO22)-AS22+AT22</f>
        <v>#VALUE!</v>
      </c>
      <c r="AW22" s="61" t="e">
        <f t="shared" ref="AW22:AW36" si="32">AV22/8</f>
        <v>#VALUE!</v>
      </c>
      <c r="AX22" s="61" t="e">
        <f t="shared" si="5"/>
        <v>#VALUE!</v>
      </c>
      <c r="AY22" s="61" t="e">
        <f t="shared" ref="AY22:AY36" si="33">ROUND(IF(AW22&gt;=AX22,AX22,AW22)*D22,2)</f>
        <v>#VALUE!</v>
      </c>
      <c r="AZ22" s="61" t="e">
        <f t="shared" ref="AZ22:AZ36" si="34">ROUND(IF((AW22-AX22)*1.5*D22&lt;0,0,(AW22-AX22)*1.5*D22),2)</f>
        <v>#VALUE!</v>
      </c>
      <c r="BA22" s="61" t="e">
        <f t="shared" ref="BA22:BA36" si="35">ROUND(D22/8*(AS22+AU22)*3,2)</f>
        <v>#VALUE!</v>
      </c>
      <c r="BB22" s="61">
        <f t="shared" ref="BB22:BB36" si="36">COUNTIFS(G22:AK22,"日",$G$4:$AK$4,"&lt;="&amp;$D$2)*50+COUNTIFS(G22:AK22,"夜",$G$4:$AK$4,"&lt;="&amp;$D$2)*50</f>
        <v>0</v>
      </c>
      <c r="BC22" s="105"/>
      <c r="BD22" s="62" t="e">
        <f t="shared" ref="BD22:BD36" si="37">SUM(AY22:BC22)</f>
        <v>#VALUE!</v>
      </c>
      <c r="BE22" s="105"/>
      <c r="BF22" s="115" t="s">
        <v>62</v>
      </c>
    </row>
    <row r="23" spans="1:58">
      <c r="A23" s="59">
        <v>17</v>
      </c>
      <c r="B23" s="103"/>
      <c r="C23" s="104"/>
      <c r="D23" s="105"/>
      <c r="E23" s="104"/>
      <c r="F23" s="106"/>
      <c r="G23" s="107"/>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7"/>
      <c r="AM23" s="60">
        <f t="shared" si="27"/>
        <v>0</v>
      </c>
      <c r="AN23" s="61">
        <f t="shared" si="28"/>
        <v>0</v>
      </c>
      <c r="AO23" s="61">
        <f t="shared" si="29"/>
        <v>0</v>
      </c>
      <c r="AP23" s="61"/>
      <c r="AQ23" s="61"/>
      <c r="AR23" s="61"/>
      <c r="AS23" s="61" t="e">
        <f t="shared" si="30"/>
        <v>#VALUE!</v>
      </c>
      <c r="AT23" s="105"/>
      <c r="AU23" s="105"/>
      <c r="AV23" s="61" t="e">
        <f t="shared" si="31"/>
        <v>#VALUE!</v>
      </c>
      <c r="AW23" s="61" t="e">
        <f t="shared" si="32"/>
        <v>#VALUE!</v>
      </c>
      <c r="AX23" s="61" t="e">
        <f t="shared" si="5"/>
        <v>#VALUE!</v>
      </c>
      <c r="AY23" s="61" t="e">
        <f t="shared" si="33"/>
        <v>#VALUE!</v>
      </c>
      <c r="AZ23" s="61" t="e">
        <f t="shared" si="34"/>
        <v>#VALUE!</v>
      </c>
      <c r="BA23" s="61" t="e">
        <f t="shared" si="35"/>
        <v>#VALUE!</v>
      </c>
      <c r="BB23" s="61">
        <f t="shared" si="36"/>
        <v>0</v>
      </c>
      <c r="BC23" s="105"/>
      <c r="BD23" s="62" t="e">
        <f t="shared" si="37"/>
        <v>#VALUE!</v>
      </c>
      <c r="BE23" s="105"/>
      <c r="BF23" s="115" t="s">
        <v>62</v>
      </c>
    </row>
    <row r="24" spans="1:58">
      <c r="A24" s="59">
        <v>18</v>
      </c>
      <c r="B24" s="103"/>
      <c r="C24" s="104"/>
      <c r="D24" s="105"/>
      <c r="E24" s="104"/>
      <c r="F24" s="106"/>
      <c r="G24" s="107"/>
      <c r="H24" s="105"/>
      <c r="I24" s="105"/>
      <c r="J24" s="105"/>
      <c r="K24" s="105"/>
      <c r="L24" s="105"/>
      <c r="M24" s="105"/>
      <c r="N24" s="105"/>
      <c r="O24" s="105"/>
      <c r="P24" s="105"/>
      <c r="Q24" s="105"/>
      <c r="R24" s="105"/>
      <c r="S24" s="105"/>
      <c r="T24" s="105"/>
      <c r="U24" s="105"/>
      <c r="V24" s="105"/>
      <c r="W24" s="105"/>
      <c r="X24" s="105"/>
      <c r="Y24" s="105"/>
      <c r="Z24" s="105"/>
      <c r="AA24" s="105"/>
      <c r="AB24" s="105"/>
      <c r="AC24" s="105"/>
      <c r="AD24" s="105"/>
      <c r="AE24" s="105"/>
      <c r="AF24" s="105"/>
      <c r="AG24" s="105"/>
      <c r="AH24" s="105"/>
      <c r="AI24" s="105"/>
      <c r="AJ24" s="105"/>
      <c r="AK24" s="105"/>
      <c r="AL24" s="97"/>
      <c r="AM24" s="60">
        <f t="shared" si="27"/>
        <v>0</v>
      </c>
      <c r="AN24" s="61">
        <f t="shared" si="28"/>
        <v>0</v>
      </c>
      <c r="AO24" s="61">
        <f t="shared" si="29"/>
        <v>0</v>
      </c>
      <c r="AP24" s="61"/>
      <c r="AQ24" s="61"/>
      <c r="AR24" s="61"/>
      <c r="AS24" s="61" t="e">
        <f t="shared" si="30"/>
        <v>#VALUE!</v>
      </c>
      <c r="AT24" s="105"/>
      <c r="AU24" s="105"/>
      <c r="AV24" s="61" t="e">
        <f t="shared" si="31"/>
        <v>#VALUE!</v>
      </c>
      <c r="AW24" s="61" t="e">
        <f t="shared" si="32"/>
        <v>#VALUE!</v>
      </c>
      <c r="AX24" s="61" t="e">
        <f t="shared" si="5"/>
        <v>#VALUE!</v>
      </c>
      <c r="AY24" s="61" t="e">
        <f t="shared" si="33"/>
        <v>#VALUE!</v>
      </c>
      <c r="AZ24" s="61" t="e">
        <f t="shared" si="34"/>
        <v>#VALUE!</v>
      </c>
      <c r="BA24" s="61" t="e">
        <f t="shared" si="35"/>
        <v>#VALUE!</v>
      </c>
      <c r="BB24" s="61">
        <f t="shared" si="36"/>
        <v>0</v>
      </c>
      <c r="BC24" s="105"/>
      <c r="BD24" s="62" t="e">
        <f t="shared" si="37"/>
        <v>#VALUE!</v>
      </c>
      <c r="BE24" s="105"/>
      <c r="BF24" s="115" t="s">
        <v>62</v>
      </c>
    </row>
    <row r="25" spans="1:58">
      <c r="A25" s="59">
        <v>19</v>
      </c>
      <c r="B25" s="103"/>
      <c r="C25" s="104"/>
      <c r="D25" s="105"/>
      <c r="E25" s="104"/>
      <c r="F25" s="106"/>
      <c r="G25" s="107"/>
      <c r="H25" s="105"/>
      <c r="I25" s="105"/>
      <c r="J25" s="105"/>
      <c r="K25" s="105"/>
      <c r="L25" s="105"/>
      <c r="M25" s="105"/>
      <c r="N25" s="105"/>
      <c r="O25" s="105"/>
      <c r="P25" s="105"/>
      <c r="Q25" s="105"/>
      <c r="R25" s="105"/>
      <c r="S25" s="105"/>
      <c r="T25" s="105"/>
      <c r="U25" s="105"/>
      <c r="V25" s="105"/>
      <c r="W25" s="105"/>
      <c r="X25" s="105"/>
      <c r="Y25" s="105"/>
      <c r="Z25" s="105"/>
      <c r="AA25" s="105"/>
      <c r="AB25" s="105"/>
      <c r="AC25" s="105"/>
      <c r="AD25" s="105"/>
      <c r="AE25" s="105"/>
      <c r="AF25" s="105"/>
      <c r="AG25" s="105"/>
      <c r="AH25" s="105"/>
      <c r="AI25" s="105"/>
      <c r="AJ25" s="105"/>
      <c r="AK25" s="105"/>
      <c r="AL25" s="97"/>
      <c r="AM25" s="60">
        <f t="shared" si="27"/>
        <v>0</v>
      </c>
      <c r="AN25" s="61">
        <f t="shared" si="28"/>
        <v>0</v>
      </c>
      <c r="AO25" s="61">
        <f t="shared" si="29"/>
        <v>0</v>
      </c>
      <c r="AP25" s="61"/>
      <c r="AQ25" s="61"/>
      <c r="AR25" s="61"/>
      <c r="AS25" s="61" t="e">
        <f t="shared" si="30"/>
        <v>#VALUE!</v>
      </c>
      <c r="AT25" s="105"/>
      <c r="AU25" s="105"/>
      <c r="AV25" s="61" t="e">
        <f t="shared" si="31"/>
        <v>#VALUE!</v>
      </c>
      <c r="AW25" s="61" t="e">
        <f t="shared" si="32"/>
        <v>#VALUE!</v>
      </c>
      <c r="AX25" s="61" t="e">
        <f t="shared" si="5"/>
        <v>#VALUE!</v>
      </c>
      <c r="AY25" s="61" t="e">
        <f t="shared" si="33"/>
        <v>#VALUE!</v>
      </c>
      <c r="AZ25" s="61" t="e">
        <f t="shared" si="34"/>
        <v>#VALUE!</v>
      </c>
      <c r="BA25" s="61" t="e">
        <f t="shared" si="35"/>
        <v>#VALUE!</v>
      </c>
      <c r="BB25" s="61">
        <f t="shared" si="36"/>
        <v>0</v>
      </c>
      <c r="BC25" s="105"/>
      <c r="BD25" s="62" t="e">
        <f t="shared" si="37"/>
        <v>#VALUE!</v>
      </c>
      <c r="BE25" s="105"/>
      <c r="BF25" s="115" t="s">
        <v>62</v>
      </c>
    </row>
    <row r="26" spans="1:58">
      <c r="A26" s="59">
        <v>20</v>
      </c>
      <c r="B26" s="103"/>
      <c r="C26" s="104"/>
      <c r="D26" s="105"/>
      <c r="E26" s="104"/>
      <c r="F26" s="106"/>
      <c r="G26" s="107"/>
      <c r="H26" s="105"/>
      <c r="I26" s="105"/>
      <c r="J26" s="105"/>
      <c r="K26" s="105"/>
      <c r="L26" s="105"/>
      <c r="M26" s="105"/>
      <c r="N26" s="105"/>
      <c r="O26" s="105"/>
      <c r="P26" s="105"/>
      <c r="Q26" s="105"/>
      <c r="R26" s="105"/>
      <c r="S26" s="105"/>
      <c r="T26" s="105"/>
      <c r="U26" s="105"/>
      <c r="V26" s="105"/>
      <c r="W26" s="105"/>
      <c r="X26" s="105"/>
      <c r="Y26" s="105"/>
      <c r="Z26" s="105"/>
      <c r="AA26" s="105"/>
      <c r="AB26" s="105"/>
      <c r="AC26" s="105"/>
      <c r="AD26" s="105"/>
      <c r="AE26" s="105"/>
      <c r="AF26" s="105"/>
      <c r="AG26" s="105"/>
      <c r="AH26" s="105"/>
      <c r="AI26" s="105"/>
      <c r="AJ26" s="105"/>
      <c r="AK26" s="105"/>
      <c r="AL26" s="97"/>
      <c r="AM26" s="60">
        <f t="shared" si="27"/>
        <v>0</v>
      </c>
      <c r="AN26" s="61">
        <f t="shared" si="28"/>
        <v>0</v>
      </c>
      <c r="AO26" s="61">
        <f t="shared" si="29"/>
        <v>0</v>
      </c>
      <c r="AP26" s="61"/>
      <c r="AQ26" s="61"/>
      <c r="AR26" s="61"/>
      <c r="AS26" s="61" t="e">
        <f t="shared" si="30"/>
        <v>#VALUE!</v>
      </c>
      <c r="AT26" s="105"/>
      <c r="AU26" s="105"/>
      <c r="AV26" s="61" t="e">
        <f t="shared" si="31"/>
        <v>#VALUE!</v>
      </c>
      <c r="AW26" s="61" t="e">
        <f t="shared" si="32"/>
        <v>#VALUE!</v>
      </c>
      <c r="AX26" s="61" t="e">
        <f t="shared" si="5"/>
        <v>#VALUE!</v>
      </c>
      <c r="AY26" s="61" t="e">
        <f t="shared" si="33"/>
        <v>#VALUE!</v>
      </c>
      <c r="AZ26" s="61" t="e">
        <f t="shared" si="34"/>
        <v>#VALUE!</v>
      </c>
      <c r="BA26" s="61" t="e">
        <f t="shared" si="35"/>
        <v>#VALUE!</v>
      </c>
      <c r="BB26" s="61">
        <f t="shared" si="36"/>
        <v>0</v>
      </c>
      <c r="BC26" s="105"/>
      <c r="BD26" s="62" t="e">
        <f t="shared" si="37"/>
        <v>#VALUE!</v>
      </c>
      <c r="BE26" s="105"/>
      <c r="BF26" s="115" t="s">
        <v>62</v>
      </c>
    </row>
    <row r="27" spans="1:58">
      <c r="A27" s="59">
        <v>21</v>
      </c>
      <c r="B27" s="103"/>
      <c r="C27" s="104"/>
      <c r="D27" s="105"/>
      <c r="E27" s="104"/>
      <c r="F27" s="106"/>
      <c r="G27" s="107"/>
      <c r="H27" s="105"/>
      <c r="I27" s="105"/>
      <c r="J27" s="105"/>
      <c r="K27" s="105"/>
      <c r="L27" s="105"/>
      <c r="M27" s="105"/>
      <c r="N27" s="105"/>
      <c r="O27" s="105"/>
      <c r="P27" s="105"/>
      <c r="Q27" s="105"/>
      <c r="R27" s="105"/>
      <c r="S27" s="105"/>
      <c r="T27" s="105"/>
      <c r="U27" s="105"/>
      <c r="V27" s="105"/>
      <c r="W27" s="105"/>
      <c r="X27" s="105"/>
      <c r="Y27" s="105"/>
      <c r="Z27" s="105"/>
      <c r="AA27" s="105"/>
      <c r="AB27" s="105"/>
      <c r="AC27" s="105"/>
      <c r="AD27" s="105"/>
      <c r="AE27" s="105"/>
      <c r="AF27" s="105"/>
      <c r="AG27" s="105"/>
      <c r="AH27" s="105"/>
      <c r="AI27" s="105"/>
      <c r="AJ27" s="105"/>
      <c r="AK27" s="105"/>
      <c r="AL27" s="97"/>
      <c r="AM27" s="60">
        <f t="shared" si="27"/>
        <v>0</v>
      </c>
      <c r="AN27" s="61">
        <f t="shared" si="28"/>
        <v>0</v>
      </c>
      <c r="AO27" s="61">
        <f t="shared" si="29"/>
        <v>0</v>
      </c>
      <c r="AP27" s="61"/>
      <c r="AQ27" s="61"/>
      <c r="AR27" s="61"/>
      <c r="AS27" s="61" t="e">
        <f t="shared" si="30"/>
        <v>#VALUE!</v>
      </c>
      <c r="AT27" s="105"/>
      <c r="AU27" s="105"/>
      <c r="AV27" s="61" t="e">
        <f t="shared" si="31"/>
        <v>#VALUE!</v>
      </c>
      <c r="AW27" s="61" t="e">
        <f t="shared" si="32"/>
        <v>#VALUE!</v>
      </c>
      <c r="AX27" s="61" t="e">
        <f t="shared" si="5"/>
        <v>#VALUE!</v>
      </c>
      <c r="AY27" s="61" t="e">
        <f t="shared" si="33"/>
        <v>#VALUE!</v>
      </c>
      <c r="AZ27" s="61" t="e">
        <f t="shared" si="34"/>
        <v>#VALUE!</v>
      </c>
      <c r="BA27" s="61" t="e">
        <f t="shared" si="35"/>
        <v>#VALUE!</v>
      </c>
      <c r="BB27" s="61">
        <f t="shared" si="36"/>
        <v>0</v>
      </c>
      <c r="BC27" s="105"/>
      <c r="BD27" s="62" t="e">
        <f t="shared" si="37"/>
        <v>#VALUE!</v>
      </c>
      <c r="BE27" s="105"/>
      <c r="BF27" s="115" t="s">
        <v>62</v>
      </c>
    </row>
    <row r="28" spans="1:58">
      <c r="A28" s="59">
        <v>22</v>
      </c>
      <c r="B28" s="103"/>
      <c r="C28" s="104"/>
      <c r="D28" s="105"/>
      <c r="E28" s="104"/>
      <c r="F28" s="106"/>
      <c r="G28" s="107"/>
      <c r="H28" s="105"/>
      <c r="I28" s="105"/>
      <c r="J28" s="105"/>
      <c r="K28" s="105"/>
      <c r="L28" s="105"/>
      <c r="M28" s="105"/>
      <c r="N28" s="105"/>
      <c r="O28" s="105"/>
      <c r="P28" s="105"/>
      <c r="Q28" s="105"/>
      <c r="R28" s="105"/>
      <c r="S28" s="105"/>
      <c r="T28" s="105"/>
      <c r="U28" s="105"/>
      <c r="V28" s="105"/>
      <c r="W28" s="105"/>
      <c r="X28" s="105"/>
      <c r="Y28" s="105"/>
      <c r="Z28" s="105"/>
      <c r="AA28" s="105"/>
      <c r="AB28" s="105"/>
      <c r="AC28" s="105"/>
      <c r="AD28" s="105"/>
      <c r="AE28" s="105"/>
      <c r="AF28" s="105"/>
      <c r="AG28" s="105"/>
      <c r="AH28" s="105"/>
      <c r="AI28" s="105"/>
      <c r="AJ28" s="105"/>
      <c r="AK28" s="105"/>
      <c r="AL28" s="97"/>
      <c r="AM28" s="60">
        <f t="shared" si="27"/>
        <v>0</v>
      </c>
      <c r="AN28" s="61">
        <f t="shared" si="28"/>
        <v>0</v>
      </c>
      <c r="AO28" s="61">
        <f t="shared" si="29"/>
        <v>0</v>
      </c>
      <c r="AP28" s="61"/>
      <c r="AQ28" s="61"/>
      <c r="AR28" s="61"/>
      <c r="AS28" s="61" t="e">
        <f t="shared" si="30"/>
        <v>#VALUE!</v>
      </c>
      <c r="AT28" s="105"/>
      <c r="AU28" s="105"/>
      <c r="AV28" s="61" t="e">
        <f t="shared" si="31"/>
        <v>#VALUE!</v>
      </c>
      <c r="AW28" s="61" t="e">
        <f t="shared" si="32"/>
        <v>#VALUE!</v>
      </c>
      <c r="AX28" s="61" t="e">
        <f t="shared" si="5"/>
        <v>#VALUE!</v>
      </c>
      <c r="AY28" s="61" t="e">
        <f t="shared" si="33"/>
        <v>#VALUE!</v>
      </c>
      <c r="AZ28" s="61" t="e">
        <f t="shared" si="34"/>
        <v>#VALUE!</v>
      </c>
      <c r="BA28" s="61" t="e">
        <f t="shared" si="35"/>
        <v>#VALUE!</v>
      </c>
      <c r="BB28" s="61">
        <f t="shared" si="36"/>
        <v>0</v>
      </c>
      <c r="BC28" s="105"/>
      <c r="BD28" s="62" t="e">
        <f t="shared" si="37"/>
        <v>#VALUE!</v>
      </c>
      <c r="BE28" s="105"/>
      <c r="BF28" s="115" t="s">
        <v>62</v>
      </c>
    </row>
    <row r="29" spans="1:58">
      <c r="A29" s="59">
        <v>23</v>
      </c>
      <c r="B29" s="103"/>
      <c r="C29" s="104"/>
      <c r="D29" s="105"/>
      <c r="E29" s="104"/>
      <c r="F29" s="106"/>
      <c r="G29" s="107"/>
      <c r="H29" s="105"/>
      <c r="I29" s="105"/>
      <c r="J29" s="105"/>
      <c r="K29" s="105"/>
      <c r="L29" s="105"/>
      <c r="M29" s="105"/>
      <c r="N29" s="105"/>
      <c r="O29" s="105"/>
      <c r="P29" s="105"/>
      <c r="Q29" s="105"/>
      <c r="R29" s="105"/>
      <c r="S29" s="105"/>
      <c r="T29" s="105"/>
      <c r="U29" s="105"/>
      <c r="V29" s="105"/>
      <c r="W29" s="105"/>
      <c r="X29" s="105"/>
      <c r="Y29" s="105"/>
      <c r="Z29" s="105"/>
      <c r="AA29" s="105"/>
      <c r="AB29" s="105"/>
      <c r="AC29" s="105"/>
      <c r="AD29" s="105"/>
      <c r="AE29" s="105"/>
      <c r="AF29" s="105"/>
      <c r="AG29" s="105"/>
      <c r="AH29" s="105"/>
      <c r="AI29" s="105"/>
      <c r="AJ29" s="105"/>
      <c r="AK29" s="105"/>
      <c r="AL29" s="97"/>
      <c r="AM29" s="60">
        <f t="shared" si="27"/>
        <v>0</v>
      </c>
      <c r="AN29" s="61">
        <f t="shared" si="28"/>
        <v>0</v>
      </c>
      <c r="AO29" s="61">
        <f t="shared" si="29"/>
        <v>0</v>
      </c>
      <c r="AP29" s="61"/>
      <c r="AQ29" s="61"/>
      <c r="AR29" s="61"/>
      <c r="AS29" s="61" t="e">
        <f t="shared" si="30"/>
        <v>#VALUE!</v>
      </c>
      <c r="AT29" s="105"/>
      <c r="AU29" s="105"/>
      <c r="AV29" s="61" t="e">
        <f t="shared" si="31"/>
        <v>#VALUE!</v>
      </c>
      <c r="AW29" s="61" t="e">
        <f t="shared" si="32"/>
        <v>#VALUE!</v>
      </c>
      <c r="AX29" s="61" t="e">
        <f t="shared" si="5"/>
        <v>#VALUE!</v>
      </c>
      <c r="AY29" s="61" t="e">
        <f t="shared" si="33"/>
        <v>#VALUE!</v>
      </c>
      <c r="AZ29" s="61" t="e">
        <f t="shared" si="34"/>
        <v>#VALUE!</v>
      </c>
      <c r="BA29" s="61" t="e">
        <f t="shared" si="35"/>
        <v>#VALUE!</v>
      </c>
      <c r="BB29" s="61">
        <f t="shared" si="36"/>
        <v>0</v>
      </c>
      <c r="BC29" s="105"/>
      <c r="BD29" s="62" t="e">
        <f t="shared" si="37"/>
        <v>#VALUE!</v>
      </c>
      <c r="BE29" s="105"/>
      <c r="BF29" s="115" t="s">
        <v>62</v>
      </c>
    </row>
    <row r="30" spans="1:58">
      <c r="A30" s="59">
        <v>24</v>
      </c>
      <c r="B30" s="103"/>
      <c r="C30" s="104"/>
      <c r="D30" s="105"/>
      <c r="E30" s="104"/>
      <c r="F30" s="106"/>
      <c r="G30" s="107"/>
      <c r="H30" s="105"/>
      <c r="I30" s="105"/>
      <c r="J30" s="105"/>
      <c r="K30" s="105"/>
      <c r="L30" s="105"/>
      <c r="M30" s="105"/>
      <c r="N30" s="105"/>
      <c r="O30" s="105"/>
      <c r="P30" s="105"/>
      <c r="Q30" s="105"/>
      <c r="R30" s="105"/>
      <c r="S30" s="105"/>
      <c r="T30" s="105"/>
      <c r="U30" s="105"/>
      <c r="V30" s="105"/>
      <c r="W30" s="105"/>
      <c r="X30" s="105"/>
      <c r="Y30" s="105"/>
      <c r="Z30" s="105"/>
      <c r="AA30" s="105"/>
      <c r="AB30" s="105"/>
      <c r="AC30" s="105"/>
      <c r="AD30" s="105"/>
      <c r="AE30" s="105"/>
      <c r="AF30" s="105"/>
      <c r="AG30" s="105"/>
      <c r="AH30" s="105"/>
      <c r="AI30" s="105"/>
      <c r="AJ30" s="105"/>
      <c r="AK30" s="105"/>
      <c r="AL30" s="97"/>
      <c r="AM30" s="60">
        <f t="shared" si="27"/>
        <v>0</v>
      </c>
      <c r="AN30" s="61">
        <f t="shared" si="28"/>
        <v>0</v>
      </c>
      <c r="AO30" s="61">
        <f t="shared" si="29"/>
        <v>0</v>
      </c>
      <c r="AP30" s="61"/>
      <c r="AQ30" s="61"/>
      <c r="AR30" s="61"/>
      <c r="AS30" s="61" t="e">
        <f t="shared" si="30"/>
        <v>#VALUE!</v>
      </c>
      <c r="AT30" s="105"/>
      <c r="AU30" s="105"/>
      <c r="AV30" s="61" t="e">
        <f t="shared" si="31"/>
        <v>#VALUE!</v>
      </c>
      <c r="AW30" s="61" t="e">
        <f t="shared" si="32"/>
        <v>#VALUE!</v>
      </c>
      <c r="AX30" s="61" t="e">
        <f t="shared" si="5"/>
        <v>#VALUE!</v>
      </c>
      <c r="AY30" s="61" t="e">
        <f t="shared" si="33"/>
        <v>#VALUE!</v>
      </c>
      <c r="AZ30" s="61" t="e">
        <f t="shared" si="34"/>
        <v>#VALUE!</v>
      </c>
      <c r="BA30" s="61" t="e">
        <f t="shared" si="35"/>
        <v>#VALUE!</v>
      </c>
      <c r="BB30" s="61">
        <f t="shared" si="36"/>
        <v>0</v>
      </c>
      <c r="BC30" s="105"/>
      <c r="BD30" s="62" t="e">
        <f t="shared" si="37"/>
        <v>#VALUE!</v>
      </c>
      <c r="BE30" s="105"/>
      <c r="BF30" s="115" t="s">
        <v>62</v>
      </c>
    </row>
    <row r="31" spans="1:58">
      <c r="A31" s="59">
        <v>25</v>
      </c>
      <c r="B31" s="103"/>
      <c r="C31" s="104"/>
      <c r="D31" s="105"/>
      <c r="E31" s="104"/>
      <c r="F31" s="106"/>
      <c r="G31" s="107"/>
      <c r="H31" s="105"/>
      <c r="I31" s="105"/>
      <c r="J31" s="105"/>
      <c r="K31" s="105"/>
      <c r="L31" s="105"/>
      <c r="M31" s="105"/>
      <c r="N31" s="105"/>
      <c r="O31" s="105"/>
      <c r="P31" s="105"/>
      <c r="Q31" s="105"/>
      <c r="R31" s="105"/>
      <c r="S31" s="105"/>
      <c r="T31" s="105"/>
      <c r="U31" s="105"/>
      <c r="V31" s="105"/>
      <c r="W31" s="105"/>
      <c r="X31" s="105"/>
      <c r="Y31" s="105"/>
      <c r="Z31" s="105"/>
      <c r="AA31" s="105"/>
      <c r="AB31" s="105"/>
      <c r="AC31" s="105"/>
      <c r="AD31" s="105"/>
      <c r="AE31" s="105"/>
      <c r="AF31" s="105"/>
      <c r="AG31" s="105"/>
      <c r="AH31" s="105"/>
      <c r="AI31" s="105"/>
      <c r="AJ31" s="105"/>
      <c r="AK31" s="105"/>
      <c r="AL31" s="97"/>
      <c r="AM31" s="60">
        <f t="shared" si="27"/>
        <v>0</v>
      </c>
      <c r="AN31" s="61">
        <f t="shared" si="28"/>
        <v>0</v>
      </c>
      <c r="AO31" s="61">
        <f t="shared" si="29"/>
        <v>0</v>
      </c>
      <c r="AP31" s="61"/>
      <c r="AQ31" s="61"/>
      <c r="AR31" s="61"/>
      <c r="AS31" s="61" t="e">
        <f t="shared" si="30"/>
        <v>#VALUE!</v>
      </c>
      <c r="AT31" s="105"/>
      <c r="AU31" s="105"/>
      <c r="AV31" s="61" t="e">
        <f t="shared" si="31"/>
        <v>#VALUE!</v>
      </c>
      <c r="AW31" s="61" t="e">
        <f t="shared" si="32"/>
        <v>#VALUE!</v>
      </c>
      <c r="AX31" s="61" t="e">
        <f t="shared" si="5"/>
        <v>#VALUE!</v>
      </c>
      <c r="AY31" s="61" t="e">
        <f t="shared" si="33"/>
        <v>#VALUE!</v>
      </c>
      <c r="AZ31" s="61" t="e">
        <f t="shared" si="34"/>
        <v>#VALUE!</v>
      </c>
      <c r="BA31" s="61" t="e">
        <f t="shared" si="35"/>
        <v>#VALUE!</v>
      </c>
      <c r="BB31" s="61">
        <f t="shared" si="36"/>
        <v>0</v>
      </c>
      <c r="BC31" s="105"/>
      <c r="BD31" s="62" t="e">
        <f t="shared" si="37"/>
        <v>#VALUE!</v>
      </c>
      <c r="BE31" s="105"/>
      <c r="BF31" s="115" t="s">
        <v>62</v>
      </c>
    </row>
    <row r="32" spans="1:58">
      <c r="A32" s="59">
        <v>26</v>
      </c>
      <c r="B32" s="103"/>
      <c r="C32" s="104"/>
      <c r="D32" s="105"/>
      <c r="E32" s="104"/>
      <c r="F32" s="106"/>
      <c r="G32" s="107"/>
      <c r="H32" s="105"/>
      <c r="I32" s="105"/>
      <c r="J32" s="105"/>
      <c r="K32" s="105"/>
      <c r="L32" s="105"/>
      <c r="M32" s="105"/>
      <c r="N32" s="105"/>
      <c r="O32" s="105"/>
      <c r="P32" s="105"/>
      <c r="Q32" s="105"/>
      <c r="R32" s="105"/>
      <c r="S32" s="105"/>
      <c r="T32" s="105"/>
      <c r="U32" s="105"/>
      <c r="V32" s="105"/>
      <c r="W32" s="105"/>
      <c r="X32" s="105"/>
      <c r="Y32" s="105"/>
      <c r="Z32" s="105"/>
      <c r="AA32" s="105"/>
      <c r="AB32" s="105"/>
      <c r="AC32" s="105"/>
      <c r="AD32" s="105"/>
      <c r="AE32" s="105"/>
      <c r="AF32" s="105"/>
      <c r="AG32" s="105"/>
      <c r="AH32" s="105"/>
      <c r="AI32" s="105"/>
      <c r="AJ32" s="105"/>
      <c r="AK32" s="105"/>
      <c r="AL32" s="97"/>
      <c r="AM32" s="60">
        <f t="shared" si="27"/>
        <v>0</v>
      </c>
      <c r="AN32" s="61">
        <f t="shared" si="28"/>
        <v>0</v>
      </c>
      <c r="AO32" s="61">
        <f t="shared" si="29"/>
        <v>0</v>
      </c>
      <c r="AP32" s="61"/>
      <c r="AQ32" s="61"/>
      <c r="AR32" s="61"/>
      <c r="AS32" s="61" t="e">
        <f t="shared" si="30"/>
        <v>#VALUE!</v>
      </c>
      <c r="AT32" s="105"/>
      <c r="AU32" s="105"/>
      <c r="AV32" s="61" t="e">
        <f t="shared" si="31"/>
        <v>#VALUE!</v>
      </c>
      <c r="AW32" s="61" t="e">
        <f t="shared" si="32"/>
        <v>#VALUE!</v>
      </c>
      <c r="AX32" s="61" t="e">
        <f t="shared" si="5"/>
        <v>#VALUE!</v>
      </c>
      <c r="AY32" s="61" t="e">
        <f t="shared" si="33"/>
        <v>#VALUE!</v>
      </c>
      <c r="AZ32" s="61" t="e">
        <f t="shared" si="34"/>
        <v>#VALUE!</v>
      </c>
      <c r="BA32" s="61" t="e">
        <f t="shared" si="35"/>
        <v>#VALUE!</v>
      </c>
      <c r="BB32" s="61">
        <f t="shared" si="36"/>
        <v>0</v>
      </c>
      <c r="BC32" s="105"/>
      <c r="BD32" s="62" t="e">
        <f t="shared" si="37"/>
        <v>#VALUE!</v>
      </c>
      <c r="BE32" s="105"/>
      <c r="BF32" s="115" t="s">
        <v>62</v>
      </c>
    </row>
    <row r="33" spans="1:58">
      <c r="A33" s="59">
        <v>27</v>
      </c>
      <c r="B33" s="103"/>
      <c r="C33" s="104"/>
      <c r="D33" s="105"/>
      <c r="E33" s="104"/>
      <c r="F33" s="106"/>
      <c r="G33" s="107"/>
      <c r="H33" s="105"/>
      <c r="I33" s="105"/>
      <c r="J33" s="105"/>
      <c r="K33" s="105"/>
      <c r="L33" s="105"/>
      <c r="M33" s="105"/>
      <c r="N33" s="105"/>
      <c r="O33" s="105"/>
      <c r="P33" s="105"/>
      <c r="Q33" s="105"/>
      <c r="R33" s="105"/>
      <c r="S33" s="105"/>
      <c r="T33" s="105"/>
      <c r="U33" s="105"/>
      <c r="V33" s="105"/>
      <c r="W33" s="105"/>
      <c r="X33" s="105"/>
      <c r="Y33" s="105"/>
      <c r="Z33" s="105"/>
      <c r="AA33" s="105"/>
      <c r="AB33" s="105"/>
      <c r="AC33" s="105"/>
      <c r="AD33" s="105"/>
      <c r="AE33" s="105"/>
      <c r="AF33" s="105"/>
      <c r="AG33" s="105"/>
      <c r="AH33" s="105"/>
      <c r="AI33" s="105"/>
      <c r="AJ33" s="105"/>
      <c r="AK33" s="105"/>
      <c r="AL33" s="97"/>
      <c r="AM33" s="60">
        <f t="shared" si="27"/>
        <v>0</v>
      </c>
      <c r="AN33" s="61">
        <f t="shared" si="28"/>
        <v>0</v>
      </c>
      <c r="AO33" s="61">
        <f t="shared" si="29"/>
        <v>0</v>
      </c>
      <c r="AP33" s="61"/>
      <c r="AQ33" s="61"/>
      <c r="AR33" s="61"/>
      <c r="AS33" s="61" t="e">
        <f t="shared" si="30"/>
        <v>#VALUE!</v>
      </c>
      <c r="AT33" s="105"/>
      <c r="AU33" s="105"/>
      <c r="AV33" s="61" t="e">
        <f t="shared" si="31"/>
        <v>#VALUE!</v>
      </c>
      <c r="AW33" s="61" t="e">
        <f t="shared" si="32"/>
        <v>#VALUE!</v>
      </c>
      <c r="AX33" s="61" t="e">
        <f t="shared" si="5"/>
        <v>#VALUE!</v>
      </c>
      <c r="AY33" s="61" t="e">
        <f t="shared" si="33"/>
        <v>#VALUE!</v>
      </c>
      <c r="AZ33" s="61" t="e">
        <f t="shared" si="34"/>
        <v>#VALUE!</v>
      </c>
      <c r="BA33" s="61" t="e">
        <f t="shared" si="35"/>
        <v>#VALUE!</v>
      </c>
      <c r="BB33" s="61">
        <f t="shared" si="36"/>
        <v>0</v>
      </c>
      <c r="BC33" s="105"/>
      <c r="BD33" s="62" t="e">
        <f t="shared" si="37"/>
        <v>#VALUE!</v>
      </c>
      <c r="BE33" s="105"/>
      <c r="BF33" s="115" t="s">
        <v>62</v>
      </c>
    </row>
    <row r="34" spans="1:58">
      <c r="A34" s="59">
        <v>28</v>
      </c>
      <c r="B34" s="103"/>
      <c r="C34" s="104"/>
      <c r="D34" s="105"/>
      <c r="E34" s="104"/>
      <c r="F34" s="106"/>
      <c r="G34" s="107"/>
      <c r="H34" s="105"/>
      <c r="I34" s="105"/>
      <c r="J34" s="105"/>
      <c r="K34" s="105"/>
      <c r="L34" s="105"/>
      <c r="M34" s="105"/>
      <c r="N34" s="105"/>
      <c r="O34" s="105"/>
      <c r="P34" s="105"/>
      <c r="Q34" s="105"/>
      <c r="R34" s="105"/>
      <c r="S34" s="105"/>
      <c r="T34" s="105"/>
      <c r="U34" s="105"/>
      <c r="V34" s="105"/>
      <c r="W34" s="105"/>
      <c r="X34" s="105"/>
      <c r="Y34" s="105"/>
      <c r="Z34" s="105"/>
      <c r="AA34" s="105"/>
      <c r="AB34" s="105"/>
      <c r="AC34" s="105"/>
      <c r="AD34" s="105"/>
      <c r="AE34" s="105"/>
      <c r="AF34" s="105"/>
      <c r="AG34" s="105"/>
      <c r="AH34" s="105"/>
      <c r="AI34" s="105"/>
      <c r="AJ34" s="105"/>
      <c r="AK34" s="105"/>
      <c r="AL34" s="97"/>
      <c r="AM34" s="60">
        <f t="shared" si="27"/>
        <v>0</v>
      </c>
      <c r="AN34" s="61">
        <f t="shared" si="28"/>
        <v>0</v>
      </c>
      <c r="AO34" s="61">
        <f t="shared" si="29"/>
        <v>0</v>
      </c>
      <c r="AP34" s="61"/>
      <c r="AQ34" s="61"/>
      <c r="AR34" s="61"/>
      <c r="AS34" s="61" t="e">
        <f t="shared" si="30"/>
        <v>#VALUE!</v>
      </c>
      <c r="AT34" s="105"/>
      <c r="AU34" s="105"/>
      <c r="AV34" s="61" t="e">
        <f t="shared" si="31"/>
        <v>#VALUE!</v>
      </c>
      <c r="AW34" s="61" t="e">
        <f t="shared" si="32"/>
        <v>#VALUE!</v>
      </c>
      <c r="AX34" s="61" t="e">
        <f t="shared" si="5"/>
        <v>#VALUE!</v>
      </c>
      <c r="AY34" s="61" t="e">
        <f t="shared" si="33"/>
        <v>#VALUE!</v>
      </c>
      <c r="AZ34" s="61" t="e">
        <f t="shared" si="34"/>
        <v>#VALUE!</v>
      </c>
      <c r="BA34" s="61" t="e">
        <f t="shared" si="35"/>
        <v>#VALUE!</v>
      </c>
      <c r="BB34" s="61">
        <f t="shared" si="36"/>
        <v>0</v>
      </c>
      <c r="BC34" s="105"/>
      <c r="BD34" s="62" t="e">
        <f t="shared" si="37"/>
        <v>#VALUE!</v>
      </c>
      <c r="BE34" s="105"/>
      <c r="BF34" s="115" t="s">
        <v>62</v>
      </c>
    </row>
    <row r="35" spans="1:58">
      <c r="A35" s="59">
        <v>29</v>
      </c>
      <c r="B35" s="103"/>
      <c r="C35" s="104"/>
      <c r="D35" s="105"/>
      <c r="E35" s="104"/>
      <c r="F35" s="106"/>
      <c r="G35" s="107"/>
      <c r="H35" s="105"/>
      <c r="I35" s="105"/>
      <c r="J35" s="105"/>
      <c r="K35" s="105"/>
      <c r="L35" s="105"/>
      <c r="M35" s="105"/>
      <c r="N35" s="105"/>
      <c r="O35" s="105"/>
      <c r="P35" s="105"/>
      <c r="Q35" s="105"/>
      <c r="R35" s="105"/>
      <c r="S35" s="105"/>
      <c r="T35" s="105"/>
      <c r="U35" s="105"/>
      <c r="V35" s="105"/>
      <c r="W35" s="105"/>
      <c r="X35" s="105"/>
      <c r="Y35" s="105"/>
      <c r="Z35" s="105"/>
      <c r="AA35" s="105"/>
      <c r="AB35" s="105"/>
      <c r="AC35" s="105"/>
      <c r="AD35" s="105"/>
      <c r="AE35" s="105"/>
      <c r="AF35" s="105"/>
      <c r="AG35" s="105"/>
      <c r="AH35" s="105"/>
      <c r="AI35" s="105"/>
      <c r="AJ35" s="105"/>
      <c r="AK35" s="105"/>
      <c r="AL35" s="97"/>
      <c r="AM35" s="60">
        <f t="shared" si="27"/>
        <v>0</v>
      </c>
      <c r="AN35" s="61">
        <f t="shared" si="28"/>
        <v>0</v>
      </c>
      <c r="AO35" s="61">
        <f t="shared" si="29"/>
        <v>0</v>
      </c>
      <c r="AP35" s="61"/>
      <c r="AQ35" s="61"/>
      <c r="AR35" s="61"/>
      <c r="AS35" s="61" t="e">
        <f t="shared" si="30"/>
        <v>#VALUE!</v>
      </c>
      <c r="AT35" s="105"/>
      <c r="AU35" s="105"/>
      <c r="AV35" s="61" t="e">
        <f t="shared" si="31"/>
        <v>#VALUE!</v>
      </c>
      <c r="AW35" s="61" t="e">
        <f t="shared" si="32"/>
        <v>#VALUE!</v>
      </c>
      <c r="AX35" s="61" t="e">
        <f t="shared" si="5"/>
        <v>#VALUE!</v>
      </c>
      <c r="AY35" s="61" t="e">
        <f t="shared" si="33"/>
        <v>#VALUE!</v>
      </c>
      <c r="AZ35" s="61" t="e">
        <f t="shared" si="34"/>
        <v>#VALUE!</v>
      </c>
      <c r="BA35" s="61" t="e">
        <f t="shared" si="35"/>
        <v>#VALUE!</v>
      </c>
      <c r="BB35" s="61">
        <f t="shared" si="36"/>
        <v>0</v>
      </c>
      <c r="BC35" s="105"/>
      <c r="BD35" s="62" t="e">
        <f t="shared" si="37"/>
        <v>#VALUE!</v>
      </c>
      <c r="BE35" s="105"/>
      <c r="BF35" s="115" t="s">
        <v>62</v>
      </c>
    </row>
    <row r="36" spans="1:58">
      <c r="A36" s="59">
        <v>30</v>
      </c>
      <c r="B36" s="103"/>
      <c r="C36" s="104"/>
      <c r="D36" s="105"/>
      <c r="E36" s="104"/>
      <c r="F36" s="106"/>
      <c r="G36" s="107"/>
      <c r="H36" s="105"/>
      <c r="I36" s="105"/>
      <c r="J36" s="105"/>
      <c r="K36" s="105"/>
      <c r="L36" s="105"/>
      <c r="M36" s="105"/>
      <c r="N36" s="105"/>
      <c r="O36" s="105"/>
      <c r="P36" s="105"/>
      <c r="Q36" s="105"/>
      <c r="R36" s="105"/>
      <c r="S36" s="105"/>
      <c r="T36" s="105"/>
      <c r="U36" s="105"/>
      <c r="V36" s="105"/>
      <c r="W36" s="105"/>
      <c r="X36" s="105"/>
      <c r="Y36" s="105"/>
      <c r="Z36" s="105"/>
      <c r="AA36" s="105"/>
      <c r="AB36" s="105"/>
      <c r="AC36" s="105"/>
      <c r="AD36" s="105"/>
      <c r="AE36" s="105"/>
      <c r="AF36" s="105"/>
      <c r="AG36" s="105"/>
      <c r="AH36" s="105"/>
      <c r="AI36" s="105"/>
      <c r="AJ36" s="105"/>
      <c r="AK36" s="105"/>
      <c r="AL36" s="97"/>
      <c r="AM36" s="60">
        <f t="shared" si="27"/>
        <v>0</v>
      </c>
      <c r="AN36" s="61">
        <f t="shared" si="28"/>
        <v>0</v>
      </c>
      <c r="AO36" s="61">
        <f t="shared" si="29"/>
        <v>0</v>
      </c>
      <c r="AP36" s="61"/>
      <c r="AQ36" s="61"/>
      <c r="AR36" s="61"/>
      <c r="AS36" s="61" t="e">
        <f t="shared" si="30"/>
        <v>#VALUE!</v>
      </c>
      <c r="AT36" s="105"/>
      <c r="AU36" s="105"/>
      <c r="AV36" s="61" t="e">
        <f t="shared" si="31"/>
        <v>#VALUE!</v>
      </c>
      <c r="AW36" s="61" t="e">
        <f t="shared" si="32"/>
        <v>#VALUE!</v>
      </c>
      <c r="AX36" s="61" t="e">
        <f t="shared" si="5"/>
        <v>#VALUE!</v>
      </c>
      <c r="AY36" s="61" t="e">
        <f t="shared" si="33"/>
        <v>#VALUE!</v>
      </c>
      <c r="AZ36" s="61" t="e">
        <f t="shared" si="34"/>
        <v>#VALUE!</v>
      </c>
      <c r="BA36" s="61" t="e">
        <f t="shared" si="35"/>
        <v>#VALUE!</v>
      </c>
      <c r="BB36" s="61">
        <f t="shared" si="36"/>
        <v>0</v>
      </c>
      <c r="BC36" s="105"/>
      <c r="BD36" s="62" t="e">
        <f t="shared" si="37"/>
        <v>#VALUE!</v>
      </c>
      <c r="BE36" s="105"/>
      <c r="BF36" s="115" t="s">
        <v>62</v>
      </c>
    </row>
    <row r="48" spans="1:58">
      <c r="O48" s="11"/>
      <c r="P48" s="11"/>
      <c r="Q48" s="11"/>
      <c r="R48" s="11"/>
      <c r="S48" s="11"/>
      <c r="T48" s="11"/>
    </row>
    <row r="52" spans="15:17">
      <c r="O52" s="63"/>
    </row>
    <row r="53" spans="15:17">
      <c r="Q53" s="63"/>
    </row>
  </sheetData>
  <sheetProtection algorithmName="SHA-512" hashValue="lb9pRN1hqf5GaL8BrDA+OBYkEmJLQmQKDQ5PJu4+WxErPxnLyfhgbuGW4buo18LiwHNH3/SP+cGYwO6rjCYGRw==" saltValue="wT4s9lcoiywPTdVnEJvExg==" spinCount="100000" sheet="1" insertRows="0" autoFilter="0"/>
  <autoFilter ref="A5:BF5" xr:uid="{4DC4EC1F-5A98-4CCF-A829-C0217C2F51B7}"/>
  <mergeCells count="2">
    <mergeCell ref="A2:B2"/>
    <mergeCell ref="G2:AL2"/>
  </mergeCells>
  <conditionalFormatting sqref="G5:AL5">
    <cfRule type="containsText" dxfId="70" priority="100" operator="containsText" text="RH">
      <formula>NOT(ISERROR(SEARCH("RH",G5)))</formula>
    </cfRule>
  </conditionalFormatting>
  <conditionalFormatting sqref="G6:AL6">
    <cfRule type="expression" dxfId="69" priority="7">
      <formula>$G$4:$AL$4=""</formula>
    </cfRule>
  </conditionalFormatting>
  <conditionalFormatting sqref="G4:AL4">
    <cfRule type="expression" dxfId="68" priority="6">
      <formula>$G$4:$AL$4&gt;"$D$2"</formula>
    </cfRule>
  </conditionalFormatting>
  <conditionalFormatting sqref="AI4">
    <cfRule type="expression" dxfId="67" priority="5">
      <formula>$AI$4&gt;$D$2</formula>
    </cfRule>
  </conditionalFormatting>
  <conditionalFormatting sqref="AJ4">
    <cfRule type="expression" dxfId="66" priority="4">
      <formula>$AJ$4&gt;$D$2</formula>
    </cfRule>
  </conditionalFormatting>
  <conditionalFormatting sqref="AK4">
    <cfRule type="expression" dxfId="65" priority="3">
      <formula>$AK$4&gt;$D$2</formula>
    </cfRule>
  </conditionalFormatting>
  <conditionalFormatting sqref="AL4">
    <cfRule type="expression" dxfId="64" priority="2">
      <formula>$AL$4&gt;$D$2</formula>
    </cfRule>
  </conditionalFormatting>
  <conditionalFormatting sqref="G7:AL36">
    <cfRule type="expression" dxfId="63" priority="1">
      <formula>$G$4:$AL$4=""</formula>
    </cfRule>
  </conditionalFormatting>
  <dataValidations count="2">
    <dataValidation type="list" allowBlank="1" showInputMessage="1" showErrorMessage="1" sqref="G6:AL36" xr:uid="{14D8F64F-6065-493B-B8A4-BA0AC8B05348}">
      <formula1>Prod_BCSC</formula1>
    </dataValidation>
    <dataValidation type="list" allowBlank="1" showInputMessage="1" showErrorMessage="1" sqref="C2" xr:uid="{5F862F19-CC6A-4C27-992A-F13FA48C9180}">
      <formula1>CN_Date</formula1>
    </dataValidation>
  </dataValidations>
  <pageMargins left="0.7" right="0.7" top="0.75" bottom="0.75" header="0.3" footer="0.3"/>
  <pageSetup paperSize="9" orientation="portrait" horizontalDpi="1200" verticalDpi="1200" r:id="rId1"/>
  <headerFooter>
    <oddFooter>&amp;C&amp;1#&amp;"Arial"&amp;10&amp;K000000Internal</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B001DF-5661-4842-BC6E-9E4AB5616B6A}">
  <sheetPr codeName="Sheet11"/>
  <dimension ref="A1:BF53"/>
  <sheetViews>
    <sheetView zoomScale="80" zoomScaleNormal="80" workbookViewId="0">
      <pane xSplit="6" ySplit="5" topLeftCell="G6" activePane="bottomRight" state="frozen"/>
      <selection pane="topRight" activeCell="X3" sqref="X3:X5"/>
      <selection pane="bottomLeft" activeCell="X3" sqref="X3:X5"/>
      <selection pane="bottomRight" activeCell="D12" sqref="D12"/>
    </sheetView>
  </sheetViews>
  <sheetFormatPr defaultColWidth="9.109375" defaultRowHeight="14.4"/>
  <cols>
    <col min="1" max="1" width="7.109375" style="8" customWidth="1"/>
    <col min="2" max="2" width="15.44140625" style="8" customWidth="1"/>
    <col min="3" max="4" width="15.44140625" style="8" bestFit="1" customWidth="1"/>
    <col min="5" max="6" width="11.5546875" style="8" customWidth="1"/>
    <col min="7" max="38" width="8.5546875" style="8" customWidth="1"/>
    <col min="39" max="41" width="9.109375" style="8"/>
    <col min="42" max="44" width="9.109375" style="8" hidden="1" customWidth="1"/>
    <col min="45" max="45" width="9.109375" style="8"/>
    <col min="46" max="47" width="26.88671875" style="8" customWidth="1"/>
    <col min="48" max="55" width="13.5546875" style="8" customWidth="1"/>
    <col min="56" max="56" width="18.5546875" style="8" bestFit="1" customWidth="1"/>
    <col min="57" max="57" width="14.44140625" style="8" customWidth="1"/>
    <col min="58" max="58" width="16.5546875" style="8" bestFit="1" customWidth="1"/>
    <col min="59" max="16384" width="9.109375" style="8"/>
  </cols>
  <sheetData>
    <row r="1" spans="1:58" ht="18.600000000000001" thickBot="1">
      <c r="A1" s="83" t="s">
        <v>63</v>
      </c>
    </row>
    <row r="2" spans="1:58" ht="47.25" customHeight="1" thickBot="1">
      <c r="A2" s="198" t="s">
        <v>64</v>
      </c>
      <c r="B2" s="199"/>
      <c r="C2" s="102" t="s">
        <v>92</v>
      </c>
      <c r="D2" s="33" t="e">
        <f>EOMONTH(C2,0)</f>
        <v>#VALUE!</v>
      </c>
      <c r="G2" s="210" t="s">
        <v>113</v>
      </c>
      <c r="H2" s="211"/>
      <c r="I2" s="211"/>
      <c r="J2" s="211"/>
      <c r="K2" s="211"/>
      <c r="L2" s="211"/>
      <c r="M2" s="211"/>
      <c r="N2" s="211"/>
      <c r="O2" s="211"/>
      <c r="P2" s="211"/>
      <c r="Q2" s="211"/>
      <c r="R2" s="211"/>
      <c r="S2" s="211"/>
      <c r="T2" s="211"/>
      <c r="U2" s="211"/>
      <c r="V2" s="211"/>
      <c r="W2" s="211"/>
      <c r="X2" s="211"/>
      <c r="Y2" s="211"/>
      <c r="Z2" s="211"/>
      <c r="AA2" s="211"/>
      <c r="AB2" s="211"/>
      <c r="AC2" s="211"/>
      <c r="AD2" s="211"/>
      <c r="AE2" s="211"/>
      <c r="AF2" s="211"/>
      <c r="AG2" s="211"/>
      <c r="AH2" s="211"/>
      <c r="AI2" s="211"/>
      <c r="AJ2" s="211"/>
      <c r="AK2" s="211"/>
      <c r="AL2" s="212"/>
    </row>
    <row r="3" spans="1:58" ht="15" thickBot="1">
      <c r="F3" s="10"/>
      <c r="G3" s="34" t="s">
        <v>88</v>
      </c>
      <c r="H3" s="10"/>
      <c r="I3" s="10"/>
      <c r="J3" s="10"/>
      <c r="K3" s="10"/>
      <c r="L3" s="10"/>
      <c r="M3" s="10"/>
      <c r="N3" s="10"/>
      <c r="O3" s="10"/>
      <c r="P3" s="10"/>
      <c r="Q3" s="10"/>
      <c r="R3" s="10"/>
      <c r="S3" s="10"/>
      <c r="T3" s="10"/>
      <c r="U3" s="10"/>
      <c r="V3" s="10"/>
      <c r="W3" s="10"/>
      <c r="X3" s="10"/>
      <c r="Y3" s="10"/>
      <c r="Z3" s="10"/>
      <c r="AA3" s="10"/>
      <c r="AB3" s="10"/>
      <c r="AC3" s="10"/>
      <c r="AD3" s="10"/>
      <c r="AE3" s="10"/>
      <c r="AF3" s="10"/>
      <c r="AG3" s="10"/>
      <c r="AH3" s="10"/>
    </row>
    <row r="4" spans="1:58" ht="85.5" customHeight="1">
      <c r="A4" s="35" t="s">
        <v>67</v>
      </c>
      <c r="B4" s="36" t="s">
        <v>68</v>
      </c>
      <c r="C4" s="13" t="s">
        <v>69</v>
      </c>
      <c r="D4" s="13" t="s">
        <v>94</v>
      </c>
      <c r="E4" s="13" t="s">
        <v>71</v>
      </c>
      <c r="F4" s="37" t="s">
        <v>72</v>
      </c>
      <c r="G4" s="38" t="e">
        <f>IF($C$2+0&gt;$D$2+1,"",$C$2+0)</f>
        <v>#VALUE!</v>
      </c>
      <c r="H4" s="39" t="e">
        <f>IF($C$2+1&gt;$D$2+1,"",$C$2+1)</f>
        <v>#VALUE!</v>
      </c>
      <c r="I4" s="39" t="e">
        <f>IF($C$2+2&gt;$D$2+1,"",$C$2+2)</f>
        <v>#VALUE!</v>
      </c>
      <c r="J4" s="39" t="e">
        <f>IF($C$2+3&gt;$D$2+1,"",$C$2+3)</f>
        <v>#VALUE!</v>
      </c>
      <c r="K4" s="39" t="e">
        <f>IF($C$2+4&gt;$D$2+1,"",$C$2+4)</f>
        <v>#VALUE!</v>
      </c>
      <c r="L4" s="39" t="e">
        <f>IF($C$2+5&gt;$D$2+1,"",$C$2+5)</f>
        <v>#VALUE!</v>
      </c>
      <c r="M4" s="39" t="e">
        <f>IF($C$2+6&gt;$D$2+1,"",$C$2+6)</f>
        <v>#VALUE!</v>
      </c>
      <c r="N4" s="39" t="e">
        <f>IF($C$2+7&gt;$D$2+1,"",$C$2+7)</f>
        <v>#VALUE!</v>
      </c>
      <c r="O4" s="39" t="e">
        <f>IF($C$2+8&gt;$D$2+1,"",$C$2+8)</f>
        <v>#VALUE!</v>
      </c>
      <c r="P4" s="39" t="e">
        <f>IF($C$2+9&gt;$D$2+1,"",$C$2+9)</f>
        <v>#VALUE!</v>
      </c>
      <c r="Q4" s="39" t="e">
        <f>IF($C$2+10&gt;$D$2+1,"",$C$2+10)</f>
        <v>#VALUE!</v>
      </c>
      <c r="R4" s="39" t="e">
        <f>IF($C$2+11&gt;$D$2+1,"",$C$2+11)</f>
        <v>#VALUE!</v>
      </c>
      <c r="S4" s="39" t="e">
        <f>IF($C$2+12&gt;$D$2+1,"",$C$2+12)</f>
        <v>#VALUE!</v>
      </c>
      <c r="T4" s="39" t="e">
        <f>IF($C$2+13&gt;$D$2+1,"",$C$2+13)</f>
        <v>#VALUE!</v>
      </c>
      <c r="U4" s="39" t="e">
        <f>IF($C$2+14&gt;$D$2+1,"",$C$2+14)</f>
        <v>#VALUE!</v>
      </c>
      <c r="V4" s="39" t="e">
        <f>IF($C$2+15&gt;$D$2+1,"",$C$2+15)</f>
        <v>#VALUE!</v>
      </c>
      <c r="W4" s="39" t="e">
        <f>IF($C$2+16&gt;$D$2+1,"",$C$2+16)</f>
        <v>#VALUE!</v>
      </c>
      <c r="X4" s="39" t="e">
        <f>IF($C$2+17&gt;$D$2+1,"",$C$2+17)</f>
        <v>#VALUE!</v>
      </c>
      <c r="Y4" s="39" t="e">
        <f>IF($C$2+18&gt;$D$2+1,"",$C$2+18)</f>
        <v>#VALUE!</v>
      </c>
      <c r="Z4" s="39" t="e">
        <f>IF($C$2+19&gt;$D$2+1,"",$C$2+19)</f>
        <v>#VALUE!</v>
      </c>
      <c r="AA4" s="39" t="e">
        <f>IF($C$2+20&gt;$D$2+1,"",$C$2+20)</f>
        <v>#VALUE!</v>
      </c>
      <c r="AB4" s="39" t="e">
        <f>IF($C$2+21&gt;$D$2+1,"",$C$2+21)</f>
        <v>#VALUE!</v>
      </c>
      <c r="AC4" s="39" t="e">
        <f>IF($C$2+22&gt;$D$2+1,"",$C$2+22)</f>
        <v>#VALUE!</v>
      </c>
      <c r="AD4" s="39" t="e">
        <f>IF($C$2+23&gt;$D$2+1,"",$C$2+23)</f>
        <v>#VALUE!</v>
      </c>
      <c r="AE4" s="39" t="e">
        <f>IF($C$2+24&gt;$D$2+1,"",$C$2+24)</f>
        <v>#VALUE!</v>
      </c>
      <c r="AF4" s="39" t="e">
        <f>IF($C$2+25&gt;$D$2+1,"",$C$2+25)</f>
        <v>#VALUE!</v>
      </c>
      <c r="AG4" s="39" t="e">
        <f>IF($C$2+26&gt;$D$2+1,"",$C$2+26)</f>
        <v>#VALUE!</v>
      </c>
      <c r="AH4" s="39" t="e">
        <f>IF($C$2+27&gt;$D$2+1,"",$C$2+27)</f>
        <v>#VALUE!</v>
      </c>
      <c r="AI4" s="39" t="e">
        <f>IF($C$2+28&gt;$D$2+1,"",$C$2+28)</f>
        <v>#VALUE!</v>
      </c>
      <c r="AJ4" s="39" t="e">
        <f>IF($C$2+29&gt;$D$2+1,"",$C$2+29)</f>
        <v>#VALUE!</v>
      </c>
      <c r="AK4" s="39" t="e">
        <f>IF($C$2+30&gt;$D$2+1,"",$C$2+30)</f>
        <v>#VALUE!</v>
      </c>
      <c r="AL4" s="40" t="e">
        <f>IF($C$2+31&gt;$D$2+1,"",$C$2+31)</f>
        <v>#VALUE!</v>
      </c>
      <c r="AM4" s="12" t="s">
        <v>95</v>
      </c>
      <c r="AN4" s="13" t="s">
        <v>96</v>
      </c>
      <c r="AO4" s="13" t="s">
        <v>97</v>
      </c>
      <c r="AP4" s="13"/>
      <c r="AQ4" s="13"/>
      <c r="AR4" s="13"/>
      <c r="AS4" s="13" t="s">
        <v>98</v>
      </c>
      <c r="AT4" s="13" t="s">
        <v>99</v>
      </c>
      <c r="AU4" s="13" t="s">
        <v>100</v>
      </c>
      <c r="AV4" s="13" t="s">
        <v>101</v>
      </c>
      <c r="AW4" s="13" t="s">
        <v>102</v>
      </c>
      <c r="AX4" s="13" t="s">
        <v>103</v>
      </c>
      <c r="AY4" s="13" t="s">
        <v>104</v>
      </c>
      <c r="AZ4" s="13" t="s">
        <v>105</v>
      </c>
      <c r="BA4" s="13" t="s">
        <v>106</v>
      </c>
      <c r="BB4" s="13" t="s">
        <v>107</v>
      </c>
      <c r="BC4" s="13" t="s">
        <v>75</v>
      </c>
      <c r="BD4" s="13" t="s">
        <v>78</v>
      </c>
      <c r="BE4" s="13" t="s">
        <v>108</v>
      </c>
      <c r="BF4" s="112" t="s">
        <v>109</v>
      </c>
    </row>
    <row r="5" spans="1:58" ht="15" thickBot="1">
      <c r="A5" s="41"/>
      <c r="B5" s="42"/>
      <c r="C5" s="43"/>
      <c r="D5" s="43"/>
      <c r="E5" s="43"/>
      <c r="F5" s="44"/>
      <c r="G5" s="45" t="str">
        <f>IFERROR(HLOOKUP(G4,Reference!1:2,2,0),"")</f>
        <v/>
      </c>
      <c r="H5" s="46" t="str">
        <f>IFERROR(HLOOKUP(H4,Reference!1:2,2,0),"")</f>
        <v/>
      </c>
      <c r="I5" s="46" t="str">
        <f>IFERROR(HLOOKUP(I4,Reference!1:2,2,0),"")</f>
        <v/>
      </c>
      <c r="J5" s="46" t="str">
        <f>IFERROR(HLOOKUP(J4,Reference!1:2,2,0),"")</f>
        <v/>
      </c>
      <c r="K5" s="46" t="str">
        <f>IFERROR(HLOOKUP(K4,Reference!1:2,2,0),"")</f>
        <v/>
      </c>
      <c r="L5" s="46" t="str">
        <f>IFERROR(HLOOKUP(L4,Reference!1:2,2,0),"")</f>
        <v/>
      </c>
      <c r="M5" s="46" t="str">
        <f>IFERROR(HLOOKUP(M4,Reference!1:2,2,0),"")</f>
        <v/>
      </c>
      <c r="N5" s="46" t="str">
        <f>IFERROR(HLOOKUP(N4,Reference!1:2,2,0),"")</f>
        <v/>
      </c>
      <c r="O5" s="46" t="str">
        <f>IFERROR(HLOOKUP(O4,Reference!1:2,2,0),"")</f>
        <v/>
      </c>
      <c r="P5" s="46" t="str">
        <f>IFERROR(HLOOKUP(P4,Reference!1:2,2,0),"")</f>
        <v/>
      </c>
      <c r="Q5" s="46" t="str">
        <f>IFERROR(HLOOKUP(Q4,Reference!1:2,2,0),"")</f>
        <v/>
      </c>
      <c r="R5" s="46" t="str">
        <f>IFERROR(HLOOKUP(R4,Reference!1:2,2,0),"")</f>
        <v/>
      </c>
      <c r="S5" s="46" t="str">
        <f>IFERROR(HLOOKUP(S4,Reference!1:2,2,0),"")</f>
        <v/>
      </c>
      <c r="T5" s="46" t="str">
        <f>IFERROR(HLOOKUP(T4,Reference!1:2,2,0),"")</f>
        <v/>
      </c>
      <c r="U5" s="46" t="str">
        <f>IFERROR(HLOOKUP(U4,Reference!1:2,2,0),"")</f>
        <v/>
      </c>
      <c r="V5" s="46" t="str">
        <f>IFERROR(HLOOKUP(V4,Reference!1:2,2,0),"")</f>
        <v/>
      </c>
      <c r="W5" s="46" t="str">
        <f>IFERROR(HLOOKUP(W4,Reference!1:2,2,0),"")</f>
        <v/>
      </c>
      <c r="X5" s="46" t="str">
        <f>IFERROR(HLOOKUP(X4,Reference!1:2,2,0),"")</f>
        <v/>
      </c>
      <c r="Y5" s="46" t="str">
        <f>IFERROR(HLOOKUP(Y4,Reference!1:2,2,0),"")</f>
        <v/>
      </c>
      <c r="Z5" s="46" t="str">
        <f>IFERROR(HLOOKUP(Z4,Reference!1:2,2,0),"")</f>
        <v/>
      </c>
      <c r="AA5" s="46" t="str">
        <f>IFERROR(HLOOKUP(AA4,Reference!1:2,2,0),"")</f>
        <v/>
      </c>
      <c r="AB5" s="46" t="str">
        <f>IFERROR(HLOOKUP(AB4,Reference!1:2,2,0),"")</f>
        <v/>
      </c>
      <c r="AC5" s="46" t="str">
        <f>IFERROR(HLOOKUP(AC4,Reference!1:2,2,0),"")</f>
        <v/>
      </c>
      <c r="AD5" s="46" t="str">
        <f>IFERROR(HLOOKUP(AD4,Reference!1:2,2,0),"")</f>
        <v/>
      </c>
      <c r="AE5" s="46" t="str">
        <f>IFERROR(HLOOKUP(AE4,Reference!1:2,2,0),"")</f>
        <v/>
      </c>
      <c r="AF5" s="46" t="str">
        <f>IFERROR(HLOOKUP(AF4,Reference!1:2,2,0),"")</f>
        <v/>
      </c>
      <c r="AG5" s="46" t="str">
        <f>IFERROR(HLOOKUP(AG4,Reference!1:2,2,0),"")</f>
        <v/>
      </c>
      <c r="AH5" s="46" t="str">
        <f>IFERROR(HLOOKUP(AH4,Reference!1:2,2,0),"")</f>
        <v/>
      </c>
      <c r="AI5" s="46" t="str">
        <f>IFERROR(HLOOKUP(AI4,Reference!1:2,2,0),"")</f>
        <v/>
      </c>
      <c r="AJ5" s="46" t="str">
        <f>IFERROR(HLOOKUP(AJ4,Reference!1:2,2,0),"")</f>
        <v/>
      </c>
      <c r="AK5" s="46" t="str">
        <f>IFERROR(HLOOKUP(AK4,Reference!1:2,2,0),"")</f>
        <v/>
      </c>
      <c r="AL5" s="47" t="str">
        <f>IFERROR(HLOOKUP(AL4,Reference!1:2,2,0),"")</f>
        <v/>
      </c>
      <c r="AM5" s="48"/>
      <c r="AN5" s="43"/>
      <c r="AO5" s="43"/>
      <c r="AP5" s="43"/>
      <c r="AQ5" s="43"/>
      <c r="AR5" s="43"/>
      <c r="AS5" s="43"/>
      <c r="AT5" s="43"/>
      <c r="AU5" s="43"/>
      <c r="AV5" s="43"/>
      <c r="AW5" s="43"/>
      <c r="AX5" s="43"/>
      <c r="AY5" s="43"/>
      <c r="AZ5" s="43"/>
      <c r="BA5" s="43"/>
      <c r="BB5" s="43"/>
      <c r="BC5" s="43"/>
      <c r="BD5" s="49"/>
      <c r="BE5" s="43"/>
      <c r="BF5" s="113"/>
    </row>
    <row r="6" spans="1:58">
      <c r="A6" s="50">
        <v>0</v>
      </c>
      <c r="B6" s="51">
        <v>12345</v>
      </c>
      <c r="C6" s="110" t="s">
        <v>89</v>
      </c>
      <c r="D6" s="52">
        <v>105</v>
      </c>
      <c r="E6" s="110"/>
      <c r="F6" s="53"/>
      <c r="G6" s="54" t="s">
        <v>110</v>
      </c>
      <c r="H6" s="52" t="s">
        <v>110</v>
      </c>
      <c r="I6" s="52"/>
      <c r="J6" s="52" t="s">
        <v>111</v>
      </c>
      <c r="K6" s="52" t="s">
        <v>112</v>
      </c>
      <c r="L6" s="52" t="s">
        <v>110</v>
      </c>
      <c r="M6" s="52"/>
      <c r="N6" s="52"/>
      <c r="O6" s="52" t="s">
        <v>110</v>
      </c>
      <c r="P6" s="52" t="s">
        <v>110</v>
      </c>
      <c r="Q6" s="52"/>
      <c r="R6" s="52"/>
      <c r="S6" s="52" t="s">
        <v>110</v>
      </c>
      <c r="T6" s="52" t="s">
        <v>110</v>
      </c>
      <c r="U6" s="52"/>
      <c r="V6" s="52"/>
      <c r="W6" s="52" t="s">
        <v>110</v>
      </c>
      <c r="X6" s="52" t="s">
        <v>110</v>
      </c>
      <c r="Y6" s="52" t="s">
        <v>110</v>
      </c>
      <c r="Z6" s="52"/>
      <c r="AA6" s="52" t="s">
        <v>110</v>
      </c>
      <c r="AB6" s="52" t="s">
        <v>110</v>
      </c>
      <c r="AC6" s="52"/>
      <c r="AD6" s="52" t="s">
        <v>111</v>
      </c>
      <c r="AE6" s="52" t="s">
        <v>111</v>
      </c>
      <c r="AF6" s="52" t="s">
        <v>111</v>
      </c>
      <c r="AG6" s="52"/>
      <c r="AH6" s="52"/>
      <c r="AI6" s="52"/>
      <c r="AJ6" s="52"/>
      <c r="AK6" s="52"/>
      <c r="AL6" s="55"/>
      <c r="AM6" s="56">
        <f t="shared" ref="AM6:AM36" si="0">COUNTIFS(G6:AK6,"日",$G$4:$AK$4,"&lt;="&amp;$D$2)*12</f>
        <v>48</v>
      </c>
      <c r="AN6" s="57">
        <f t="shared" ref="AN6:AN36" si="1">COUNTIFS(G6:AK6,"夜",$G$4:$AK$4,"&lt;="&amp;$D$2)*12</f>
        <v>144</v>
      </c>
      <c r="AO6" s="57">
        <f t="shared" ref="AO6:AO36" si="2">COUNTIFS(G6:AK6,"常",$G$4:$AK$4,"&lt;="&amp;$D$2)*8</f>
        <v>8</v>
      </c>
      <c r="AP6" s="61"/>
      <c r="AQ6" s="61"/>
      <c r="AR6" s="61"/>
      <c r="AS6" s="57" t="e">
        <f t="shared" ref="AS6:AS36" si="3">COUNTIFS(G6:AK6,"日",$G$4:$AK$4,"&lt;="&amp;$D$2,$G$5:$AK$5,"PH")*12+COUNTIFS(G6:AK6,"常",$G$4:$AK$4,"&lt;="&amp;$D$2,$G$5:$AK$5,"PH")*8+COUNTIFS(G6:AK6,"夜",$G$4:$AK$4,"&lt;="&amp;$D$2,$G$5:$AK$5,"PH")*3.5+
IF(AND(G6="夜",$H$5="PH",$G$4&lt;=$D$2),8.5,0)+IF(AND(H6="夜",$I$5="PH",$H$4&lt;=$D$2),8.5,0)+IF(AND(I6="夜",$J$5="PH",$I$4&lt;=$D$2),8.5,0)+IF(AND(J6="夜",$K$5="PH",$J$4&lt;=$D$2),8.5,0)+IF(AND(K6="夜",$L$5="PH",$K$4&lt;=$D$2),8.5,0)+IF(AND(L6="夜",$M$5="PH",$L$4&lt;=$D$2),8.5,0)+IF(AND(M6="夜",$N$5="PH",$M$4&lt;=$D$2),8.5,0)+IF(AND(N6="夜",$O$5="PH",$N$4&lt;=$D$2),8.5,0)+IF(AND(O6="夜",$P$5="PH",$O$4&lt;=$D$2),8.5,0)+IF(AND(P6="夜",$Q$5="PH",$P$4&lt;=$D$2),8.5,0)+IF(AND(Q6="夜",$R$5="PH",$Q$4&lt;=$D$2),8.5,0)+IF(AND(R6="夜",$S$5="PH",$R$4&lt;=$D$2),8.5,0)+IF(AND(S6="夜",$T$5="PH",$S$4&lt;=$D$2),8.5,0)+IF(AND(T6="夜",$U$5="PH",$T$4&lt;=$D$2),8.5,0)+IF(AND(U6="夜",$V$5="PH",$U$4&lt;=$D$2),8.5,0)+IF(AND(V6="夜",$W$5="PH",$V$4&lt;=$D$2),8.5,0)+IF(AND(W6="夜",$X$5="PH",$W$4&lt;=$D$2),8.5,0)+IF(AND(X6="夜",$Y$5="PH",$X$4&lt;=$D$2),8.5,0)+IF(AND(Y6="夜",$Z$5="PH",$Y$4&lt;=$D$2),8.5,0)+IF(AND(Z6="夜",$AA$5="PH",$Z$4&lt;=$D$2),8.5,0)+IF(AND(AA6="夜",$AB$5="PH",$AA$4&lt;=$D$2),8.5,0)+IF(AND(AB6="夜",$AC$5="PH",$AB$4&lt;=$D$2),8.5,0)+IF(AND(AC6="夜",$AD$5="PH",$AC$4&lt;=$D$2),8.5,0)+IF(AND(AD6="夜",$AE$5="PH",$AD$4&lt;=$D$2),8.5,0)+IF(AND(AE6="夜",$AF$5="PH",$AE$4&lt;=$D$2),8.5,0)+IF(AND(AF6="夜",$AG$5="PH",$AF$4&lt;=$D$2),8.5,0)+IF(AND(AG6="夜",$AH$5="PH",$AG$4&lt;=$D$2),8.5,0)+IF(AND(AH6="夜",$AI$5="PH",$AH$4&lt;=$D$2),8.5,0)+IF(AND(AI6="夜",$AJ$5="PH",$AI$4&lt;=$D$2),8.5,0)+IF(AND(AJ6="夜",$AK$5="PH",$AJ$4&lt;=$D$2),8.5,0)+IF(AND(AK6="夜",$AL$5="PH",$AK$4&lt;=$D$2),8.5,0)</f>
        <v>#VALUE!</v>
      </c>
      <c r="AT6" s="52"/>
      <c r="AU6" s="52"/>
      <c r="AV6" s="57" t="e">
        <f>SUM(AM6:AO6)-AS6+AT6</f>
        <v>#VALUE!</v>
      </c>
      <c r="AW6" s="57" t="e">
        <f t="shared" ref="AW6:AW36" si="4">AV6/8</f>
        <v>#VALUE!</v>
      </c>
      <c r="AX6" s="57" t="e">
        <f t="shared" ref="AX6:AX36" si="5">NETWORKDAYS($C$2,$D$2)</f>
        <v>#VALUE!</v>
      </c>
      <c r="AY6" s="57" t="e">
        <f t="shared" ref="AY6:AY36" si="6">ROUND(IF(AW6&gt;=AX6,AX6,AW6)*D6,2)</f>
        <v>#VALUE!</v>
      </c>
      <c r="AZ6" s="57" t="e">
        <f t="shared" ref="AZ6:AZ36" si="7">ROUND(IF((AW6-AX6)*1.5*D6&lt;0,0,(AW6-AX6)*1.5*D6),2)</f>
        <v>#VALUE!</v>
      </c>
      <c r="BA6" s="57" t="e">
        <f t="shared" ref="BA6:BA36" si="8">ROUND(D6/8*(AS6+AU6)*3,2)</f>
        <v>#VALUE!</v>
      </c>
      <c r="BB6" s="57">
        <f t="shared" ref="BB6:BB36" si="9">COUNTIFS(G6:AK6,"日",$G$4:$AK$4,"&lt;="&amp;$D$2)*50+COUNTIFS(G6:AK6,"夜",$G$4:$AK$4,"&lt;="&amp;$D$2)*50</f>
        <v>800</v>
      </c>
      <c r="BC6" s="52">
        <v>500</v>
      </c>
      <c r="BD6" s="58" t="e">
        <f t="shared" ref="BD6:BD36" si="10">SUM(AY6:BC6)</f>
        <v>#VALUE!</v>
      </c>
      <c r="BE6" s="52"/>
      <c r="BF6" s="114" t="s">
        <v>62</v>
      </c>
    </row>
    <row r="7" spans="1:58">
      <c r="A7" s="59">
        <v>1</v>
      </c>
      <c r="B7" s="103"/>
      <c r="C7" s="104"/>
      <c r="D7" s="105"/>
      <c r="E7" s="104"/>
      <c r="F7" s="106"/>
      <c r="G7" s="107"/>
      <c r="H7" s="105"/>
      <c r="I7" s="105"/>
      <c r="J7" s="105"/>
      <c r="K7" s="105"/>
      <c r="L7" s="105"/>
      <c r="M7" s="105"/>
      <c r="N7" s="105"/>
      <c r="O7" s="105"/>
      <c r="P7" s="105"/>
      <c r="Q7" s="105"/>
      <c r="R7" s="105"/>
      <c r="S7" s="105"/>
      <c r="T7" s="105"/>
      <c r="U7" s="105"/>
      <c r="V7" s="105"/>
      <c r="W7" s="105"/>
      <c r="X7" s="105"/>
      <c r="Y7" s="105"/>
      <c r="Z7" s="105"/>
      <c r="AA7" s="105"/>
      <c r="AB7" s="105"/>
      <c r="AC7" s="105"/>
      <c r="AD7" s="105"/>
      <c r="AE7" s="105"/>
      <c r="AF7" s="105"/>
      <c r="AG7" s="105"/>
      <c r="AH7" s="105"/>
      <c r="AI7" s="105"/>
      <c r="AJ7" s="105"/>
      <c r="AK7" s="105"/>
      <c r="AL7" s="97"/>
      <c r="AM7" s="60">
        <f t="shared" si="0"/>
        <v>0</v>
      </c>
      <c r="AN7" s="61">
        <f t="shared" si="1"/>
        <v>0</v>
      </c>
      <c r="AO7" s="61">
        <f t="shared" si="2"/>
        <v>0</v>
      </c>
      <c r="AP7" s="61"/>
      <c r="AQ7" s="61"/>
      <c r="AR7" s="61"/>
      <c r="AS7" s="61" t="e">
        <f t="shared" si="3"/>
        <v>#VALUE!</v>
      </c>
      <c r="AT7" s="105"/>
      <c r="AU7" s="105"/>
      <c r="AV7" s="61" t="e">
        <f t="shared" ref="AV7:AV8" si="11">SUM(AM7:AO7)-AS7+AT7</f>
        <v>#VALUE!</v>
      </c>
      <c r="AW7" s="61" t="e">
        <f t="shared" si="4"/>
        <v>#VALUE!</v>
      </c>
      <c r="AX7" s="61" t="e">
        <f t="shared" si="5"/>
        <v>#VALUE!</v>
      </c>
      <c r="AY7" s="61" t="e">
        <f t="shared" si="6"/>
        <v>#VALUE!</v>
      </c>
      <c r="AZ7" s="61" t="e">
        <f t="shared" si="7"/>
        <v>#VALUE!</v>
      </c>
      <c r="BA7" s="61" t="e">
        <f t="shared" si="8"/>
        <v>#VALUE!</v>
      </c>
      <c r="BB7" s="61">
        <f t="shared" si="9"/>
        <v>0</v>
      </c>
      <c r="BC7" s="105"/>
      <c r="BD7" s="62" t="e">
        <f t="shared" si="10"/>
        <v>#VALUE!</v>
      </c>
      <c r="BE7" s="105"/>
      <c r="BF7" s="115" t="s">
        <v>62</v>
      </c>
    </row>
    <row r="8" spans="1:58">
      <c r="A8" s="59">
        <v>2</v>
      </c>
      <c r="B8" s="103"/>
      <c r="C8" s="104"/>
      <c r="D8" s="105"/>
      <c r="E8" s="104"/>
      <c r="F8" s="106"/>
      <c r="G8" s="107"/>
      <c r="H8" s="105"/>
      <c r="I8" s="105"/>
      <c r="J8" s="105"/>
      <c r="K8" s="105"/>
      <c r="L8" s="105"/>
      <c r="M8" s="105"/>
      <c r="N8" s="105"/>
      <c r="O8" s="105"/>
      <c r="P8" s="105"/>
      <c r="Q8" s="105"/>
      <c r="R8" s="105"/>
      <c r="S8" s="105"/>
      <c r="T8" s="105"/>
      <c r="U8" s="105"/>
      <c r="V8" s="105"/>
      <c r="W8" s="105"/>
      <c r="X8" s="105"/>
      <c r="Y8" s="105"/>
      <c r="Z8" s="105"/>
      <c r="AA8" s="105"/>
      <c r="AB8" s="105"/>
      <c r="AC8" s="105"/>
      <c r="AD8" s="105"/>
      <c r="AE8" s="105"/>
      <c r="AF8" s="105"/>
      <c r="AG8" s="105"/>
      <c r="AH8" s="105"/>
      <c r="AI8" s="105"/>
      <c r="AJ8" s="105"/>
      <c r="AK8" s="105"/>
      <c r="AL8" s="97"/>
      <c r="AM8" s="60">
        <f t="shared" si="0"/>
        <v>0</v>
      </c>
      <c r="AN8" s="61">
        <f t="shared" si="1"/>
        <v>0</v>
      </c>
      <c r="AO8" s="61">
        <f t="shared" si="2"/>
        <v>0</v>
      </c>
      <c r="AP8" s="61"/>
      <c r="AQ8" s="61"/>
      <c r="AR8" s="61"/>
      <c r="AS8" s="61" t="e">
        <f t="shared" si="3"/>
        <v>#VALUE!</v>
      </c>
      <c r="AT8" s="105"/>
      <c r="AU8" s="105"/>
      <c r="AV8" s="61" t="e">
        <f t="shared" si="11"/>
        <v>#VALUE!</v>
      </c>
      <c r="AW8" s="61" t="e">
        <f t="shared" si="4"/>
        <v>#VALUE!</v>
      </c>
      <c r="AX8" s="61" t="e">
        <f t="shared" si="5"/>
        <v>#VALUE!</v>
      </c>
      <c r="AY8" s="61" t="e">
        <f t="shared" si="6"/>
        <v>#VALUE!</v>
      </c>
      <c r="AZ8" s="61" t="e">
        <f t="shared" si="7"/>
        <v>#VALUE!</v>
      </c>
      <c r="BA8" s="61" t="e">
        <f t="shared" si="8"/>
        <v>#VALUE!</v>
      </c>
      <c r="BB8" s="61">
        <f t="shared" si="9"/>
        <v>0</v>
      </c>
      <c r="BC8" s="105"/>
      <c r="BD8" s="62" t="e">
        <f t="shared" si="10"/>
        <v>#VALUE!</v>
      </c>
      <c r="BE8" s="105"/>
      <c r="BF8" s="115" t="s">
        <v>62</v>
      </c>
    </row>
    <row r="9" spans="1:58">
      <c r="A9" s="59">
        <v>3</v>
      </c>
      <c r="B9" s="103"/>
      <c r="C9" s="104"/>
      <c r="D9" s="105"/>
      <c r="E9" s="104"/>
      <c r="F9" s="106"/>
      <c r="G9" s="107"/>
      <c r="H9" s="105"/>
      <c r="I9" s="105"/>
      <c r="J9" s="105"/>
      <c r="K9" s="105"/>
      <c r="L9" s="105"/>
      <c r="M9" s="105"/>
      <c r="N9" s="105"/>
      <c r="O9" s="105"/>
      <c r="P9" s="105"/>
      <c r="Q9" s="105"/>
      <c r="R9" s="105"/>
      <c r="S9" s="105"/>
      <c r="T9" s="105"/>
      <c r="U9" s="105"/>
      <c r="V9" s="105"/>
      <c r="W9" s="105"/>
      <c r="X9" s="105"/>
      <c r="Y9" s="105"/>
      <c r="Z9" s="105"/>
      <c r="AA9" s="105"/>
      <c r="AB9" s="105"/>
      <c r="AC9" s="105"/>
      <c r="AD9" s="105"/>
      <c r="AE9" s="105"/>
      <c r="AF9" s="105"/>
      <c r="AG9" s="105"/>
      <c r="AH9" s="105"/>
      <c r="AI9" s="105"/>
      <c r="AJ9" s="105"/>
      <c r="AK9" s="105"/>
      <c r="AL9" s="97"/>
      <c r="AM9" s="60">
        <f t="shared" si="0"/>
        <v>0</v>
      </c>
      <c r="AN9" s="61">
        <f t="shared" si="1"/>
        <v>0</v>
      </c>
      <c r="AO9" s="61">
        <f t="shared" si="2"/>
        <v>0</v>
      </c>
      <c r="AP9" s="61"/>
      <c r="AQ9" s="61"/>
      <c r="AR9" s="61"/>
      <c r="AS9" s="61" t="e">
        <f t="shared" si="3"/>
        <v>#VALUE!</v>
      </c>
      <c r="AT9" s="105"/>
      <c r="AU9" s="105"/>
      <c r="AV9" s="61" t="e">
        <f>SUM(AM9:AO9)-AS9+AT9</f>
        <v>#VALUE!</v>
      </c>
      <c r="AW9" s="61" t="e">
        <f t="shared" si="4"/>
        <v>#VALUE!</v>
      </c>
      <c r="AX9" s="61" t="e">
        <f t="shared" si="5"/>
        <v>#VALUE!</v>
      </c>
      <c r="AY9" s="61" t="e">
        <f t="shared" si="6"/>
        <v>#VALUE!</v>
      </c>
      <c r="AZ9" s="61" t="e">
        <f t="shared" si="7"/>
        <v>#VALUE!</v>
      </c>
      <c r="BA9" s="61" t="e">
        <f t="shared" si="8"/>
        <v>#VALUE!</v>
      </c>
      <c r="BB9" s="61">
        <f t="shared" si="9"/>
        <v>0</v>
      </c>
      <c r="BC9" s="105"/>
      <c r="BD9" s="62" t="e">
        <f t="shared" si="10"/>
        <v>#VALUE!</v>
      </c>
      <c r="BE9" s="105"/>
      <c r="BF9" s="115" t="s">
        <v>62</v>
      </c>
    </row>
    <row r="10" spans="1:58">
      <c r="A10" s="59">
        <v>4</v>
      </c>
      <c r="B10" s="103"/>
      <c r="C10" s="104"/>
      <c r="D10" s="105"/>
      <c r="E10" s="104"/>
      <c r="F10" s="106"/>
      <c r="G10" s="107"/>
      <c r="H10" s="105"/>
      <c r="I10" s="105"/>
      <c r="J10" s="105"/>
      <c r="K10" s="105"/>
      <c r="L10" s="105"/>
      <c r="M10" s="105"/>
      <c r="N10" s="105"/>
      <c r="O10" s="105"/>
      <c r="P10" s="105"/>
      <c r="Q10" s="105"/>
      <c r="R10" s="105"/>
      <c r="S10" s="105"/>
      <c r="T10" s="105"/>
      <c r="U10" s="105"/>
      <c r="V10" s="105"/>
      <c r="W10" s="105"/>
      <c r="X10" s="105"/>
      <c r="Y10" s="105"/>
      <c r="Z10" s="105"/>
      <c r="AA10" s="105"/>
      <c r="AB10" s="105"/>
      <c r="AC10" s="105"/>
      <c r="AD10" s="105"/>
      <c r="AE10" s="105"/>
      <c r="AF10" s="105"/>
      <c r="AG10" s="105"/>
      <c r="AH10" s="105"/>
      <c r="AI10" s="105"/>
      <c r="AJ10" s="105"/>
      <c r="AK10" s="105"/>
      <c r="AL10" s="97"/>
      <c r="AM10" s="60">
        <f t="shared" si="0"/>
        <v>0</v>
      </c>
      <c r="AN10" s="61">
        <f t="shared" si="1"/>
        <v>0</v>
      </c>
      <c r="AO10" s="61">
        <f t="shared" si="2"/>
        <v>0</v>
      </c>
      <c r="AP10" s="61"/>
      <c r="AQ10" s="61"/>
      <c r="AR10" s="61"/>
      <c r="AS10" s="61" t="e">
        <f t="shared" si="3"/>
        <v>#VALUE!</v>
      </c>
      <c r="AT10" s="105"/>
      <c r="AU10" s="105"/>
      <c r="AV10" s="61" t="e">
        <f t="shared" ref="AV10:AV11" si="12">SUM(AM10:AO10)-AS10+AT10</f>
        <v>#VALUE!</v>
      </c>
      <c r="AW10" s="61" t="e">
        <f t="shared" si="4"/>
        <v>#VALUE!</v>
      </c>
      <c r="AX10" s="61" t="e">
        <f t="shared" si="5"/>
        <v>#VALUE!</v>
      </c>
      <c r="AY10" s="61" t="e">
        <f t="shared" si="6"/>
        <v>#VALUE!</v>
      </c>
      <c r="AZ10" s="61" t="e">
        <f t="shared" si="7"/>
        <v>#VALUE!</v>
      </c>
      <c r="BA10" s="61" t="e">
        <f t="shared" si="8"/>
        <v>#VALUE!</v>
      </c>
      <c r="BB10" s="61">
        <f t="shared" si="9"/>
        <v>0</v>
      </c>
      <c r="BC10" s="105"/>
      <c r="BD10" s="62" t="e">
        <f t="shared" si="10"/>
        <v>#VALUE!</v>
      </c>
      <c r="BE10" s="105"/>
      <c r="BF10" s="115" t="s">
        <v>62</v>
      </c>
    </row>
    <row r="11" spans="1:58">
      <c r="A11" s="59">
        <v>5</v>
      </c>
      <c r="B11" s="103"/>
      <c r="C11" s="104"/>
      <c r="D11" s="105"/>
      <c r="E11" s="104"/>
      <c r="F11" s="106"/>
      <c r="G11" s="107"/>
      <c r="H11" s="105"/>
      <c r="I11" s="105"/>
      <c r="J11" s="105"/>
      <c r="K11" s="105"/>
      <c r="L11" s="105"/>
      <c r="M11" s="105"/>
      <c r="N11" s="105"/>
      <c r="O11" s="105"/>
      <c r="P11" s="105"/>
      <c r="Q11" s="105"/>
      <c r="R11" s="105"/>
      <c r="S11" s="105"/>
      <c r="T11" s="105"/>
      <c r="U11" s="105"/>
      <c r="V11" s="105"/>
      <c r="W11" s="105"/>
      <c r="X11" s="105"/>
      <c r="Y11" s="105"/>
      <c r="Z11" s="105"/>
      <c r="AA11" s="105"/>
      <c r="AB11" s="105"/>
      <c r="AC11" s="105"/>
      <c r="AD11" s="105"/>
      <c r="AE11" s="105"/>
      <c r="AF11" s="105"/>
      <c r="AG11" s="105"/>
      <c r="AH11" s="105"/>
      <c r="AI11" s="105"/>
      <c r="AJ11" s="105"/>
      <c r="AK11" s="105"/>
      <c r="AL11" s="97"/>
      <c r="AM11" s="60">
        <f t="shared" si="0"/>
        <v>0</v>
      </c>
      <c r="AN11" s="61">
        <f t="shared" si="1"/>
        <v>0</v>
      </c>
      <c r="AO11" s="61">
        <f t="shared" si="2"/>
        <v>0</v>
      </c>
      <c r="AP11" s="61"/>
      <c r="AQ11" s="61"/>
      <c r="AR11" s="61"/>
      <c r="AS11" s="61" t="e">
        <f t="shared" si="3"/>
        <v>#VALUE!</v>
      </c>
      <c r="AT11" s="105"/>
      <c r="AU11" s="105"/>
      <c r="AV11" s="61" t="e">
        <f t="shared" si="12"/>
        <v>#VALUE!</v>
      </c>
      <c r="AW11" s="61" t="e">
        <f t="shared" si="4"/>
        <v>#VALUE!</v>
      </c>
      <c r="AX11" s="61" t="e">
        <f t="shared" si="5"/>
        <v>#VALUE!</v>
      </c>
      <c r="AY11" s="61" t="e">
        <f t="shared" si="6"/>
        <v>#VALUE!</v>
      </c>
      <c r="AZ11" s="61" t="e">
        <f t="shared" si="7"/>
        <v>#VALUE!</v>
      </c>
      <c r="BA11" s="61" t="e">
        <f t="shared" si="8"/>
        <v>#VALUE!</v>
      </c>
      <c r="BB11" s="61">
        <f t="shared" si="9"/>
        <v>0</v>
      </c>
      <c r="BC11" s="105"/>
      <c r="BD11" s="62" t="e">
        <f t="shared" si="10"/>
        <v>#VALUE!</v>
      </c>
      <c r="BE11" s="105"/>
      <c r="BF11" s="115" t="s">
        <v>62</v>
      </c>
    </row>
    <row r="12" spans="1:58">
      <c r="A12" s="59">
        <v>6</v>
      </c>
      <c r="B12" s="103"/>
      <c r="C12" s="104"/>
      <c r="D12" s="105"/>
      <c r="E12" s="104"/>
      <c r="F12" s="106"/>
      <c r="G12" s="107"/>
      <c r="H12" s="105"/>
      <c r="I12" s="105"/>
      <c r="J12" s="105"/>
      <c r="K12" s="105"/>
      <c r="L12" s="105"/>
      <c r="M12" s="105"/>
      <c r="N12" s="105"/>
      <c r="O12" s="105"/>
      <c r="P12" s="105"/>
      <c r="Q12" s="105"/>
      <c r="R12" s="105"/>
      <c r="S12" s="105"/>
      <c r="T12" s="105"/>
      <c r="U12" s="105"/>
      <c r="V12" s="105"/>
      <c r="W12" s="105"/>
      <c r="X12" s="105"/>
      <c r="Y12" s="105"/>
      <c r="Z12" s="105"/>
      <c r="AA12" s="105"/>
      <c r="AB12" s="105"/>
      <c r="AC12" s="105"/>
      <c r="AD12" s="105"/>
      <c r="AE12" s="105"/>
      <c r="AF12" s="105"/>
      <c r="AG12" s="105"/>
      <c r="AH12" s="105"/>
      <c r="AI12" s="105"/>
      <c r="AJ12" s="105"/>
      <c r="AK12" s="105"/>
      <c r="AL12" s="97"/>
      <c r="AM12" s="60">
        <f t="shared" si="0"/>
        <v>0</v>
      </c>
      <c r="AN12" s="61">
        <f t="shared" si="1"/>
        <v>0</v>
      </c>
      <c r="AO12" s="61">
        <f t="shared" si="2"/>
        <v>0</v>
      </c>
      <c r="AP12" s="61"/>
      <c r="AQ12" s="61"/>
      <c r="AR12" s="61"/>
      <c r="AS12" s="61" t="e">
        <f t="shared" si="3"/>
        <v>#VALUE!</v>
      </c>
      <c r="AT12" s="105"/>
      <c r="AU12" s="105"/>
      <c r="AV12" s="61" t="e">
        <f>SUM(AM12:AO12)-AS12+AT12</f>
        <v>#VALUE!</v>
      </c>
      <c r="AW12" s="61" t="e">
        <f t="shared" si="4"/>
        <v>#VALUE!</v>
      </c>
      <c r="AX12" s="61" t="e">
        <f t="shared" si="5"/>
        <v>#VALUE!</v>
      </c>
      <c r="AY12" s="61" t="e">
        <f t="shared" si="6"/>
        <v>#VALUE!</v>
      </c>
      <c r="AZ12" s="61" t="e">
        <f t="shared" si="7"/>
        <v>#VALUE!</v>
      </c>
      <c r="BA12" s="61" t="e">
        <f t="shared" si="8"/>
        <v>#VALUE!</v>
      </c>
      <c r="BB12" s="61">
        <f t="shared" si="9"/>
        <v>0</v>
      </c>
      <c r="BC12" s="105"/>
      <c r="BD12" s="62" t="e">
        <f t="shared" si="10"/>
        <v>#VALUE!</v>
      </c>
      <c r="BE12" s="105"/>
      <c r="BF12" s="115" t="s">
        <v>62</v>
      </c>
    </row>
    <row r="13" spans="1:58">
      <c r="A13" s="59">
        <v>7</v>
      </c>
      <c r="B13" s="103"/>
      <c r="C13" s="104"/>
      <c r="D13" s="105"/>
      <c r="E13" s="104"/>
      <c r="F13" s="106"/>
      <c r="G13" s="107"/>
      <c r="H13" s="105"/>
      <c r="I13" s="105"/>
      <c r="J13" s="105"/>
      <c r="K13" s="105"/>
      <c r="L13" s="105"/>
      <c r="M13" s="105"/>
      <c r="N13" s="105"/>
      <c r="O13" s="105"/>
      <c r="P13" s="105"/>
      <c r="Q13" s="105"/>
      <c r="R13" s="105"/>
      <c r="S13" s="105"/>
      <c r="T13" s="105"/>
      <c r="U13" s="105"/>
      <c r="V13" s="105"/>
      <c r="W13" s="105"/>
      <c r="X13" s="105"/>
      <c r="Y13" s="105"/>
      <c r="Z13" s="105"/>
      <c r="AA13" s="105"/>
      <c r="AB13" s="105"/>
      <c r="AC13" s="105"/>
      <c r="AD13" s="105"/>
      <c r="AE13" s="105"/>
      <c r="AF13" s="105"/>
      <c r="AG13" s="105"/>
      <c r="AH13" s="105"/>
      <c r="AI13" s="105"/>
      <c r="AJ13" s="105"/>
      <c r="AK13" s="105"/>
      <c r="AL13" s="97"/>
      <c r="AM13" s="60">
        <f t="shared" si="0"/>
        <v>0</v>
      </c>
      <c r="AN13" s="61">
        <f t="shared" si="1"/>
        <v>0</v>
      </c>
      <c r="AO13" s="61">
        <f t="shared" si="2"/>
        <v>0</v>
      </c>
      <c r="AP13" s="61"/>
      <c r="AQ13" s="61"/>
      <c r="AR13" s="61"/>
      <c r="AS13" s="61" t="e">
        <f t="shared" si="3"/>
        <v>#VALUE!</v>
      </c>
      <c r="AT13" s="105"/>
      <c r="AU13" s="105"/>
      <c r="AV13" s="61" t="e">
        <f t="shared" ref="AV13:AV14" si="13">SUM(AM13:AO13)-AS13+AT13</f>
        <v>#VALUE!</v>
      </c>
      <c r="AW13" s="61" t="e">
        <f t="shared" si="4"/>
        <v>#VALUE!</v>
      </c>
      <c r="AX13" s="61" t="e">
        <f t="shared" si="5"/>
        <v>#VALUE!</v>
      </c>
      <c r="AY13" s="61" t="e">
        <f t="shared" si="6"/>
        <v>#VALUE!</v>
      </c>
      <c r="AZ13" s="61" t="e">
        <f t="shared" si="7"/>
        <v>#VALUE!</v>
      </c>
      <c r="BA13" s="61" t="e">
        <f t="shared" si="8"/>
        <v>#VALUE!</v>
      </c>
      <c r="BB13" s="61">
        <f t="shared" si="9"/>
        <v>0</v>
      </c>
      <c r="BC13" s="105"/>
      <c r="BD13" s="62" t="e">
        <f t="shared" si="10"/>
        <v>#VALUE!</v>
      </c>
      <c r="BE13" s="105"/>
      <c r="BF13" s="115" t="s">
        <v>62</v>
      </c>
    </row>
    <row r="14" spans="1:58">
      <c r="A14" s="59">
        <v>8</v>
      </c>
      <c r="B14" s="103"/>
      <c r="C14" s="104"/>
      <c r="D14" s="105"/>
      <c r="E14" s="104"/>
      <c r="F14" s="106"/>
      <c r="G14" s="107"/>
      <c r="H14" s="105"/>
      <c r="I14" s="105"/>
      <c r="J14" s="105"/>
      <c r="K14" s="105"/>
      <c r="L14" s="105"/>
      <c r="M14" s="105"/>
      <c r="N14" s="105"/>
      <c r="O14" s="105"/>
      <c r="P14" s="105"/>
      <c r="Q14" s="105"/>
      <c r="R14" s="105"/>
      <c r="S14" s="105"/>
      <c r="T14" s="105"/>
      <c r="U14" s="105"/>
      <c r="V14" s="105"/>
      <c r="W14" s="105"/>
      <c r="X14" s="105"/>
      <c r="Y14" s="105"/>
      <c r="Z14" s="105"/>
      <c r="AA14" s="105"/>
      <c r="AB14" s="105"/>
      <c r="AC14" s="105"/>
      <c r="AD14" s="105"/>
      <c r="AE14" s="105"/>
      <c r="AF14" s="105"/>
      <c r="AG14" s="105"/>
      <c r="AH14" s="105"/>
      <c r="AI14" s="105"/>
      <c r="AJ14" s="105"/>
      <c r="AK14" s="105"/>
      <c r="AL14" s="97"/>
      <c r="AM14" s="60">
        <f t="shared" si="0"/>
        <v>0</v>
      </c>
      <c r="AN14" s="61">
        <f t="shared" si="1"/>
        <v>0</v>
      </c>
      <c r="AO14" s="61">
        <f t="shared" si="2"/>
        <v>0</v>
      </c>
      <c r="AP14" s="61"/>
      <c r="AQ14" s="61"/>
      <c r="AR14" s="61"/>
      <c r="AS14" s="61" t="e">
        <f t="shared" si="3"/>
        <v>#VALUE!</v>
      </c>
      <c r="AT14" s="105"/>
      <c r="AU14" s="105"/>
      <c r="AV14" s="61" t="e">
        <f t="shared" si="13"/>
        <v>#VALUE!</v>
      </c>
      <c r="AW14" s="61" t="e">
        <f t="shared" si="4"/>
        <v>#VALUE!</v>
      </c>
      <c r="AX14" s="61" t="e">
        <f t="shared" si="5"/>
        <v>#VALUE!</v>
      </c>
      <c r="AY14" s="61" t="e">
        <f t="shared" si="6"/>
        <v>#VALUE!</v>
      </c>
      <c r="AZ14" s="61" t="e">
        <f t="shared" si="7"/>
        <v>#VALUE!</v>
      </c>
      <c r="BA14" s="61" t="e">
        <f t="shared" si="8"/>
        <v>#VALUE!</v>
      </c>
      <c r="BB14" s="61">
        <f t="shared" si="9"/>
        <v>0</v>
      </c>
      <c r="BC14" s="105"/>
      <c r="BD14" s="62" t="e">
        <f t="shared" si="10"/>
        <v>#VALUE!</v>
      </c>
      <c r="BE14" s="105"/>
      <c r="BF14" s="115" t="s">
        <v>62</v>
      </c>
    </row>
    <row r="15" spans="1:58">
      <c r="A15" s="59">
        <v>9</v>
      </c>
      <c r="B15" s="103"/>
      <c r="C15" s="104"/>
      <c r="D15" s="105"/>
      <c r="E15" s="104"/>
      <c r="F15" s="106"/>
      <c r="G15" s="107"/>
      <c r="H15" s="105"/>
      <c r="I15" s="105"/>
      <c r="J15" s="105"/>
      <c r="K15" s="105"/>
      <c r="L15" s="105"/>
      <c r="M15" s="105"/>
      <c r="N15" s="105"/>
      <c r="O15" s="105"/>
      <c r="P15" s="105"/>
      <c r="Q15" s="105"/>
      <c r="R15" s="105"/>
      <c r="S15" s="105"/>
      <c r="T15" s="105"/>
      <c r="U15" s="105"/>
      <c r="V15" s="105"/>
      <c r="W15" s="105"/>
      <c r="X15" s="105"/>
      <c r="Y15" s="105"/>
      <c r="Z15" s="105"/>
      <c r="AA15" s="105"/>
      <c r="AB15" s="105"/>
      <c r="AC15" s="105"/>
      <c r="AD15" s="105"/>
      <c r="AE15" s="105"/>
      <c r="AF15" s="105"/>
      <c r="AG15" s="105"/>
      <c r="AH15" s="105"/>
      <c r="AI15" s="105"/>
      <c r="AJ15" s="105"/>
      <c r="AK15" s="105"/>
      <c r="AL15" s="97"/>
      <c r="AM15" s="60">
        <f t="shared" si="0"/>
        <v>0</v>
      </c>
      <c r="AN15" s="61">
        <f t="shared" si="1"/>
        <v>0</v>
      </c>
      <c r="AO15" s="61">
        <f t="shared" si="2"/>
        <v>0</v>
      </c>
      <c r="AP15" s="61"/>
      <c r="AQ15" s="61"/>
      <c r="AR15" s="61"/>
      <c r="AS15" s="61" t="e">
        <f t="shared" si="3"/>
        <v>#VALUE!</v>
      </c>
      <c r="AT15" s="105"/>
      <c r="AU15" s="105"/>
      <c r="AV15" s="61" t="e">
        <f>SUM(AM15:AO15)-AS15+AT15</f>
        <v>#VALUE!</v>
      </c>
      <c r="AW15" s="61" t="e">
        <f t="shared" si="4"/>
        <v>#VALUE!</v>
      </c>
      <c r="AX15" s="61" t="e">
        <f t="shared" si="5"/>
        <v>#VALUE!</v>
      </c>
      <c r="AY15" s="61" t="e">
        <f t="shared" si="6"/>
        <v>#VALUE!</v>
      </c>
      <c r="AZ15" s="61" t="e">
        <f t="shared" si="7"/>
        <v>#VALUE!</v>
      </c>
      <c r="BA15" s="61" t="e">
        <f t="shared" si="8"/>
        <v>#VALUE!</v>
      </c>
      <c r="BB15" s="61">
        <f t="shared" si="9"/>
        <v>0</v>
      </c>
      <c r="BC15" s="105"/>
      <c r="BD15" s="62" t="e">
        <f t="shared" si="10"/>
        <v>#VALUE!</v>
      </c>
      <c r="BE15" s="105"/>
      <c r="BF15" s="115" t="s">
        <v>62</v>
      </c>
    </row>
    <row r="16" spans="1:58">
      <c r="A16" s="59">
        <v>10</v>
      </c>
      <c r="B16" s="103"/>
      <c r="C16" s="104"/>
      <c r="D16" s="105"/>
      <c r="E16" s="104"/>
      <c r="F16" s="106"/>
      <c r="G16" s="107"/>
      <c r="H16" s="105"/>
      <c r="I16" s="105"/>
      <c r="J16" s="105"/>
      <c r="K16" s="105"/>
      <c r="L16" s="105"/>
      <c r="M16" s="105"/>
      <c r="N16" s="105"/>
      <c r="O16" s="105"/>
      <c r="P16" s="105"/>
      <c r="Q16" s="105"/>
      <c r="R16" s="105"/>
      <c r="S16" s="105"/>
      <c r="T16" s="105"/>
      <c r="U16" s="105"/>
      <c r="V16" s="105"/>
      <c r="W16" s="105"/>
      <c r="X16" s="105"/>
      <c r="Y16" s="105"/>
      <c r="Z16" s="105"/>
      <c r="AA16" s="105"/>
      <c r="AB16" s="105"/>
      <c r="AC16" s="105"/>
      <c r="AD16" s="105"/>
      <c r="AE16" s="105"/>
      <c r="AF16" s="105"/>
      <c r="AG16" s="105"/>
      <c r="AH16" s="105"/>
      <c r="AI16" s="105"/>
      <c r="AJ16" s="105"/>
      <c r="AK16" s="105"/>
      <c r="AL16" s="97"/>
      <c r="AM16" s="60">
        <f t="shared" si="0"/>
        <v>0</v>
      </c>
      <c r="AN16" s="61">
        <f t="shared" si="1"/>
        <v>0</v>
      </c>
      <c r="AO16" s="61">
        <f t="shared" si="2"/>
        <v>0</v>
      </c>
      <c r="AP16" s="61"/>
      <c r="AQ16" s="61"/>
      <c r="AR16" s="61"/>
      <c r="AS16" s="61" t="e">
        <f t="shared" si="3"/>
        <v>#VALUE!</v>
      </c>
      <c r="AT16" s="105"/>
      <c r="AU16" s="105"/>
      <c r="AV16" s="61" t="e">
        <f t="shared" ref="AV16:AV17" si="14">SUM(AM16:AO16)-AS16+AT16</f>
        <v>#VALUE!</v>
      </c>
      <c r="AW16" s="61" t="e">
        <f t="shared" si="4"/>
        <v>#VALUE!</v>
      </c>
      <c r="AX16" s="61" t="e">
        <f t="shared" si="5"/>
        <v>#VALUE!</v>
      </c>
      <c r="AY16" s="61" t="e">
        <f t="shared" si="6"/>
        <v>#VALUE!</v>
      </c>
      <c r="AZ16" s="61" t="e">
        <f t="shared" si="7"/>
        <v>#VALUE!</v>
      </c>
      <c r="BA16" s="61" t="e">
        <f t="shared" si="8"/>
        <v>#VALUE!</v>
      </c>
      <c r="BB16" s="61">
        <f t="shared" si="9"/>
        <v>0</v>
      </c>
      <c r="BC16" s="105"/>
      <c r="BD16" s="62" t="e">
        <f t="shared" si="10"/>
        <v>#VALUE!</v>
      </c>
      <c r="BE16" s="105"/>
      <c r="BF16" s="115" t="s">
        <v>62</v>
      </c>
    </row>
    <row r="17" spans="1:58">
      <c r="A17" s="59">
        <v>11</v>
      </c>
      <c r="B17" s="103"/>
      <c r="C17" s="104"/>
      <c r="D17" s="105"/>
      <c r="E17" s="104"/>
      <c r="F17" s="106"/>
      <c r="G17" s="107"/>
      <c r="H17" s="105"/>
      <c r="I17" s="105"/>
      <c r="J17" s="105"/>
      <c r="K17" s="105"/>
      <c r="L17" s="105"/>
      <c r="M17" s="105"/>
      <c r="N17" s="105"/>
      <c r="O17" s="105"/>
      <c r="P17" s="105"/>
      <c r="Q17" s="105"/>
      <c r="R17" s="105"/>
      <c r="S17" s="105"/>
      <c r="T17" s="105"/>
      <c r="U17" s="105"/>
      <c r="V17" s="105"/>
      <c r="W17" s="105"/>
      <c r="X17" s="105"/>
      <c r="Y17" s="105"/>
      <c r="Z17" s="105"/>
      <c r="AA17" s="105"/>
      <c r="AB17" s="105"/>
      <c r="AC17" s="105"/>
      <c r="AD17" s="105"/>
      <c r="AE17" s="105"/>
      <c r="AF17" s="105"/>
      <c r="AG17" s="105"/>
      <c r="AH17" s="105"/>
      <c r="AI17" s="105"/>
      <c r="AJ17" s="105"/>
      <c r="AK17" s="105"/>
      <c r="AL17" s="97"/>
      <c r="AM17" s="60">
        <f t="shared" si="0"/>
        <v>0</v>
      </c>
      <c r="AN17" s="61">
        <f t="shared" si="1"/>
        <v>0</v>
      </c>
      <c r="AO17" s="61">
        <f t="shared" si="2"/>
        <v>0</v>
      </c>
      <c r="AP17" s="61"/>
      <c r="AQ17" s="61"/>
      <c r="AR17" s="61"/>
      <c r="AS17" s="61" t="e">
        <f t="shared" si="3"/>
        <v>#VALUE!</v>
      </c>
      <c r="AT17" s="105"/>
      <c r="AU17" s="105"/>
      <c r="AV17" s="61" t="e">
        <f t="shared" si="14"/>
        <v>#VALUE!</v>
      </c>
      <c r="AW17" s="61" t="e">
        <f t="shared" si="4"/>
        <v>#VALUE!</v>
      </c>
      <c r="AX17" s="61" t="e">
        <f t="shared" si="5"/>
        <v>#VALUE!</v>
      </c>
      <c r="AY17" s="61" t="e">
        <f t="shared" si="6"/>
        <v>#VALUE!</v>
      </c>
      <c r="AZ17" s="61" t="e">
        <f t="shared" si="7"/>
        <v>#VALUE!</v>
      </c>
      <c r="BA17" s="61" t="e">
        <f t="shared" si="8"/>
        <v>#VALUE!</v>
      </c>
      <c r="BB17" s="61">
        <f t="shared" si="9"/>
        <v>0</v>
      </c>
      <c r="BC17" s="105"/>
      <c r="BD17" s="62" t="e">
        <f t="shared" si="10"/>
        <v>#VALUE!</v>
      </c>
      <c r="BE17" s="105"/>
      <c r="BF17" s="115" t="s">
        <v>62</v>
      </c>
    </row>
    <row r="18" spans="1:58">
      <c r="A18" s="59">
        <v>12</v>
      </c>
      <c r="B18" s="103"/>
      <c r="C18" s="104"/>
      <c r="D18" s="105"/>
      <c r="E18" s="104"/>
      <c r="F18" s="106"/>
      <c r="G18" s="107"/>
      <c r="H18" s="105"/>
      <c r="I18" s="105"/>
      <c r="J18" s="105"/>
      <c r="K18" s="105"/>
      <c r="L18" s="105"/>
      <c r="M18" s="105"/>
      <c r="N18" s="105"/>
      <c r="O18" s="105"/>
      <c r="P18" s="105"/>
      <c r="Q18" s="105"/>
      <c r="R18" s="105"/>
      <c r="S18" s="105"/>
      <c r="T18" s="105"/>
      <c r="U18" s="105"/>
      <c r="V18" s="105"/>
      <c r="W18" s="105"/>
      <c r="X18" s="105"/>
      <c r="Y18" s="105"/>
      <c r="Z18" s="105"/>
      <c r="AA18" s="105"/>
      <c r="AB18" s="105"/>
      <c r="AC18" s="105"/>
      <c r="AD18" s="105"/>
      <c r="AE18" s="105"/>
      <c r="AF18" s="105"/>
      <c r="AG18" s="105"/>
      <c r="AH18" s="105"/>
      <c r="AI18" s="105"/>
      <c r="AJ18" s="105"/>
      <c r="AK18" s="105"/>
      <c r="AL18" s="97"/>
      <c r="AM18" s="60">
        <f t="shared" si="0"/>
        <v>0</v>
      </c>
      <c r="AN18" s="61">
        <f t="shared" si="1"/>
        <v>0</v>
      </c>
      <c r="AO18" s="61">
        <f t="shared" si="2"/>
        <v>0</v>
      </c>
      <c r="AP18" s="61"/>
      <c r="AQ18" s="61"/>
      <c r="AR18" s="61"/>
      <c r="AS18" s="61" t="e">
        <f t="shared" si="3"/>
        <v>#VALUE!</v>
      </c>
      <c r="AT18" s="105"/>
      <c r="AU18" s="105"/>
      <c r="AV18" s="61" t="e">
        <f t="shared" ref="AV18:AV19" si="15">SUM(AM18:AO18)-AS18+AT18</f>
        <v>#VALUE!</v>
      </c>
      <c r="AW18" s="61" t="e">
        <f t="shared" si="4"/>
        <v>#VALUE!</v>
      </c>
      <c r="AX18" s="61" t="e">
        <f t="shared" si="5"/>
        <v>#VALUE!</v>
      </c>
      <c r="AY18" s="61" t="e">
        <f t="shared" si="6"/>
        <v>#VALUE!</v>
      </c>
      <c r="AZ18" s="61" t="e">
        <f t="shared" si="7"/>
        <v>#VALUE!</v>
      </c>
      <c r="BA18" s="61" t="e">
        <f t="shared" si="8"/>
        <v>#VALUE!</v>
      </c>
      <c r="BB18" s="61">
        <f t="shared" si="9"/>
        <v>0</v>
      </c>
      <c r="BC18" s="105"/>
      <c r="BD18" s="62" t="e">
        <f t="shared" si="10"/>
        <v>#VALUE!</v>
      </c>
      <c r="BE18" s="105"/>
      <c r="BF18" s="115" t="s">
        <v>62</v>
      </c>
    </row>
    <row r="19" spans="1:58">
      <c r="A19" s="59">
        <v>13</v>
      </c>
      <c r="B19" s="103"/>
      <c r="C19" s="104"/>
      <c r="D19" s="105"/>
      <c r="E19" s="104"/>
      <c r="F19" s="106"/>
      <c r="G19" s="107"/>
      <c r="H19" s="105"/>
      <c r="I19" s="105"/>
      <c r="J19" s="105"/>
      <c r="K19" s="105"/>
      <c r="L19" s="105"/>
      <c r="M19" s="105"/>
      <c r="N19" s="105"/>
      <c r="O19" s="105"/>
      <c r="P19" s="105"/>
      <c r="Q19" s="105"/>
      <c r="R19" s="105"/>
      <c r="S19" s="105"/>
      <c r="T19" s="105"/>
      <c r="U19" s="105"/>
      <c r="V19" s="105"/>
      <c r="W19" s="105"/>
      <c r="X19" s="105"/>
      <c r="Y19" s="105"/>
      <c r="Z19" s="105"/>
      <c r="AA19" s="105"/>
      <c r="AB19" s="105"/>
      <c r="AC19" s="105"/>
      <c r="AD19" s="105"/>
      <c r="AE19" s="105"/>
      <c r="AF19" s="105"/>
      <c r="AG19" s="105"/>
      <c r="AH19" s="105"/>
      <c r="AI19" s="105"/>
      <c r="AJ19" s="105"/>
      <c r="AK19" s="105"/>
      <c r="AL19" s="97"/>
      <c r="AM19" s="60">
        <f t="shared" si="0"/>
        <v>0</v>
      </c>
      <c r="AN19" s="61">
        <f t="shared" si="1"/>
        <v>0</v>
      </c>
      <c r="AO19" s="61">
        <f t="shared" si="2"/>
        <v>0</v>
      </c>
      <c r="AP19" s="61"/>
      <c r="AQ19" s="61"/>
      <c r="AR19" s="61"/>
      <c r="AS19" s="61" t="e">
        <f t="shared" si="3"/>
        <v>#VALUE!</v>
      </c>
      <c r="AT19" s="105"/>
      <c r="AU19" s="105"/>
      <c r="AV19" s="61" t="e">
        <f t="shared" si="15"/>
        <v>#VALUE!</v>
      </c>
      <c r="AW19" s="61" t="e">
        <f t="shared" si="4"/>
        <v>#VALUE!</v>
      </c>
      <c r="AX19" s="61" t="e">
        <f t="shared" si="5"/>
        <v>#VALUE!</v>
      </c>
      <c r="AY19" s="61" t="e">
        <f t="shared" si="6"/>
        <v>#VALUE!</v>
      </c>
      <c r="AZ19" s="61" t="e">
        <f t="shared" si="7"/>
        <v>#VALUE!</v>
      </c>
      <c r="BA19" s="61" t="e">
        <f t="shared" si="8"/>
        <v>#VALUE!</v>
      </c>
      <c r="BB19" s="61">
        <f t="shared" si="9"/>
        <v>0</v>
      </c>
      <c r="BC19" s="105"/>
      <c r="BD19" s="62" t="e">
        <f t="shared" si="10"/>
        <v>#VALUE!</v>
      </c>
      <c r="BE19" s="105"/>
      <c r="BF19" s="115" t="s">
        <v>62</v>
      </c>
    </row>
    <row r="20" spans="1:58">
      <c r="A20" s="59">
        <v>14</v>
      </c>
      <c r="B20" s="103"/>
      <c r="C20" s="104"/>
      <c r="D20" s="105"/>
      <c r="E20" s="104"/>
      <c r="F20" s="106"/>
      <c r="G20" s="107"/>
      <c r="H20" s="105"/>
      <c r="I20" s="105"/>
      <c r="J20" s="105"/>
      <c r="K20" s="105"/>
      <c r="L20" s="105"/>
      <c r="M20" s="105"/>
      <c r="N20" s="105"/>
      <c r="O20" s="105"/>
      <c r="P20" s="105"/>
      <c r="Q20" s="105"/>
      <c r="R20" s="105"/>
      <c r="S20" s="105"/>
      <c r="T20" s="105"/>
      <c r="U20" s="105"/>
      <c r="V20" s="105"/>
      <c r="W20" s="105"/>
      <c r="X20" s="105"/>
      <c r="Y20" s="105"/>
      <c r="Z20" s="105"/>
      <c r="AA20" s="105"/>
      <c r="AB20" s="105"/>
      <c r="AC20" s="105"/>
      <c r="AD20" s="105"/>
      <c r="AE20" s="105"/>
      <c r="AF20" s="105"/>
      <c r="AG20" s="105"/>
      <c r="AH20" s="105"/>
      <c r="AI20" s="105"/>
      <c r="AJ20" s="105"/>
      <c r="AK20" s="105"/>
      <c r="AL20" s="97"/>
      <c r="AM20" s="60">
        <f t="shared" si="0"/>
        <v>0</v>
      </c>
      <c r="AN20" s="61">
        <f t="shared" si="1"/>
        <v>0</v>
      </c>
      <c r="AO20" s="61">
        <f t="shared" si="2"/>
        <v>0</v>
      </c>
      <c r="AP20" s="61"/>
      <c r="AQ20" s="61"/>
      <c r="AR20" s="61"/>
      <c r="AS20" s="61" t="e">
        <f t="shared" si="3"/>
        <v>#VALUE!</v>
      </c>
      <c r="AT20" s="105"/>
      <c r="AU20" s="105"/>
      <c r="AV20" s="61" t="e">
        <f t="shared" ref="AV20:AV21" si="16">SUM(AM20:AO20)-AS20+AT20</f>
        <v>#VALUE!</v>
      </c>
      <c r="AW20" s="61" t="e">
        <f t="shared" si="4"/>
        <v>#VALUE!</v>
      </c>
      <c r="AX20" s="61" t="e">
        <f t="shared" si="5"/>
        <v>#VALUE!</v>
      </c>
      <c r="AY20" s="61" t="e">
        <f t="shared" si="6"/>
        <v>#VALUE!</v>
      </c>
      <c r="AZ20" s="61" t="e">
        <f t="shared" si="7"/>
        <v>#VALUE!</v>
      </c>
      <c r="BA20" s="61" t="e">
        <f t="shared" si="8"/>
        <v>#VALUE!</v>
      </c>
      <c r="BB20" s="61">
        <f t="shared" si="9"/>
        <v>0</v>
      </c>
      <c r="BC20" s="105"/>
      <c r="BD20" s="62" t="e">
        <f t="shared" si="10"/>
        <v>#VALUE!</v>
      </c>
      <c r="BE20" s="105"/>
      <c r="BF20" s="115" t="s">
        <v>62</v>
      </c>
    </row>
    <row r="21" spans="1:58">
      <c r="A21" s="59">
        <v>15</v>
      </c>
      <c r="B21" s="103"/>
      <c r="C21" s="104"/>
      <c r="D21" s="105"/>
      <c r="E21" s="104"/>
      <c r="F21" s="106"/>
      <c r="G21" s="107"/>
      <c r="H21" s="105"/>
      <c r="I21" s="105"/>
      <c r="J21" s="105"/>
      <c r="K21" s="105"/>
      <c r="L21" s="105"/>
      <c r="M21" s="105"/>
      <c r="N21" s="105"/>
      <c r="O21" s="105"/>
      <c r="P21" s="105"/>
      <c r="Q21" s="105"/>
      <c r="R21" s="105"/>
      <c r="S21" s="105"/>
      <c r="T21" s="105"/>
      <c r="U21" s="105"/>
      <c r="V21" s="105"/>
      <c r="W21" s="105"/>
      <c r="X21" s="105"/>
      <c r="Y21" s="105"/>
      <c r="Z21" s="105"/>
      <c r="AA21" s="105"/>
      <c r="AB21" s="105"/>
      <c r="AC21" s="105"/>
      <c r="AD21" s="105"/>
      <c r="AE21" s="105"/>
      <c r="AF21" s="105"/>
      <c r="AG21" s="105"/>
      <c r="AH21" s="105"/>
      <c r="AI21" s="105"/>
      <c r="AJ21" s="105"/>
      <c r="AK21" s="105"/>
      <c r="AL21" s="97"/>
      <c r="AM21" s="60">
        <f t="shared" si="0"/>
        <v>0</v>
      </c>
      <c r="AN21" s="61">
        <f t="shared" si="1"/>
        <v>0</v>
      </c>
      <c r="AO21" s="61">
        <f t="shared" si="2"/>
        <v>0</v>
      </c>
      <c r="AP21" s="61"/>
      <c r="AQ21" s="61"/>
      <c r="AR21" s="61"/>
      <c r="AS21" s="61" t="e">
        <f t="shared" si="3"/>
        <v>#VALUE!</v>
      </c>
      <c r="AT21" s="105"/>
      <c r="AU21" s="105"/>
      <c r="AV21" s="61" t="e">
        <f t="shared" si="16"/>
        <v>#VALUE!</v>
      </c>
      <c r="AW21" s="61" t="e">
        <f t="shared" si="4"/>
        <v>#VALUE!</v>
      </c>
      <c r="AX21" s="61" t="e">
        <f t="shared" si="5"/>
        <v>#VALUE!</v>
      </c>
      <c r="AY21" s="61" t="e">
        <f t="shared" si="6"/>
        <v>#VALUE!</v>
      </c>
      <c r="AZ21" s="61" t="e">
        <f t="shared" si="7"/>
        <v>#VALUE!</v>
      </c>
      <c r="BA21" s="61" t="e">
        <f t="shared" si="8"/>
        <v>#VALUE!</v>
      </c>
      <c r="BB21" s="61">
        <f t="shared" si="9"/>
        <v>0</v>
      </c>
      <c r="BC21" s="105"/>
      <c r="BD21" s="62" t="e">
        <f t="shared" si="10"/>
        <v>#VALUE!</v>
      </c>
      <c r="BE21" s="105"/>
      <c r="BF21" s="115" t="s">
        <v>62</v>
      </c>
    </row>
    <row r="22" spans="1:58">
      <c r="A22" s="59">
        <v>16</v>
      </c>
      <c r="B22" s="103"/>
      <c r="C22" s="104"/>
      <c r="D22" s="105"/>
      <c r="E22" s="104"/>
      <c r="F22" s="106"/>
      <c r="G22" s="107"/>
      <c r="H22" s="105"/>
      <c r="I22" s="105"/>
      <c r="J22" s="105"/>
      <c r="K22" s="105"/>
      <c r="L22" s="105"/>
      <c r="M22" s="105"/>
      <c r="N22" s="105"/>
      <c r="O22" s="105"/>
      <c r="P22" s="105"/>
      <c r="Q22" s="105"/>
      <c r="R22" s="105"/>
      <c r="S22" s="105"/>
      <c r="T22" s="105"/>
      <c r="U22" s="105"/>
      <c r="V22" s="105"/>
      <c r="W22" s="105"/>
      <c r="X22" s="105"/>
      <c r="Y22" s="105"/>
      <c r="Z22" s="105"/>
      <c r="AA22" s="105"/>
      <c r="AB22" s="105"/>
      <c r="AC22" s="105"/>
      <c r="AD22" s="105"/>
      <c r="AE22" s="105"/>
      <c r="AF22" s="105"/>
      <c r="AG22" s="105"/>
      <c r="AH22" s="105"/>
      <c r="AI22" s="105"/>
      <c r="AJ22" s="105"/>
      <c r="AK22" s="105"/>
      <c r="AL22" s="97"/>
      <c r="AM22" s="60">
        <f t="shared" si="0"/>
        <v>0</v>
      </c>
      <c r="AN22" s="61">
        <f t="shared" si="1"/>
        <v>0</v>
      </c>
      <c r="AO22" s="61">
        <f t="shared" si="2"/>
        <v>0</v>
      </c>
      <c r="AP22" s="61"/>
      <c r="AQ22" s="61"/>
      <c r="AR22" s="61"/>
      <c r="AS22" s="61" t="e">
        <f t="shared" si="3"/>
        <v>#VALUE!</v>
      </c>
      <c r="AT22" s="105"/>
      <c r="AU22" s="105"/>
      <c r="AV22" s="61" t="e">
        <f t="shared" ref="AV22:AV36" si="17">SUM(AM22:AO22)-AS22+AT22</f>
        <v>#VALUE!</v>
      </c>
      <c r="AW22" s="61" t="e">
        <f t="shared" si="4"/>
        <v>#VALUE!</v>
      </c>
      <c r="AX22" s="61" t="e">
        <f t="shared" si="5"/>
        <v>#VALUE!</v>
      </c>
      <c r="AY22" s="61" t="e">
        <f t="shared" si="6"/>
        <v>#VALUE!</v>
      </c>
      <c r="AZ22" s="61" t="e">
        <f t="shared" si="7"/>
        <v>#VALUE!</v>
      </c>
      <c r="BA22" s="61" t="e">
        <f t="shared" si="8"/>
        <v>#VALUE!</v>
      </c>
      <c r="BB22" s="61">
        <f t="shared" si="9"/>
        <v>0</v>
      </c>
      <c r="BC22" s="105"/>
      <c r="BD22" s="62" t="e">
        <f t="shared" si="10"/>
        <v>#VALUE!</v>
      </c>
      <c r="BE22" s="105"/>
      <c r="BF22" s="115" t="s">
        <v>62</v>
      </c>
    </row>
    <row r="23" spans="1:58">
      <c r="A23" s="59">
        <v>17</v>
      </c>
      <c r="B23" s="103"/>
      <c r="C23" s="104"/>
      <c r="D23" s="105"/>
      <c r="E23" s="104"/>
      <c r="F23" s="106"/>
      <c r="G23" s="107"/>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7"/>
      <c r="AM23" s="60">
        <f t="shared" si="0"/>
        <v>0</v>
      </c>
      <c r="AN23" s="61">
        <f t="shared" si="1"/>
        <v>0</v>
      </c>
      <c r="AO23" s="61">
        <f t="shared" si="2"/>
        <v>0</v>
      </c>
      <c r="AP23" s="61"/>
      <c r="AQ23" s="61"/>
      <c r="AR23" s="61"/>
      <c r="AS23" s="61" t="e">
        <f t="shared" si="3"/>
        <v>#VALUE!</v>
      </c>
      <c r="AT23" s="105"/>
      <c r="AU23" s="105"/>
      <c r="AV23" s="61" t="e">
        <f t="shared" si="17"/>
        <v>#VALUE!</v>
      </c>
      <c r="AW23" s="61" t="e">
        <f t="shared" si="4"/>
        <v>#VALUE!</v>
      </c>
      <c r="AX23" s="61" t="e">
        <f t="shared" si="5"/>
        <v>#VALUE!</v>
      </c>
      <c r="AY23" s="61" t="e">
        <f t="shared" si="6"/>
        <v>#VALUE!</v>
      </c>
      <c r="AZ23" s="61" t="e">
        <f t="shared" si="7"/>
        <v>#VALUE!</v>
      </c>
      <c r="BA23" s="61" t="e">
        <f t="shared" si="8"/>
        <v>#VALUE!</v>
      </c>
      <c r="BB23" s="61">
        <f t="shared" si="9"/>
        <v>0</v>
      </c>
      <c r="BC23" s="105"/>
      <c r="BD23" s="62" t="e">
        <f t="shared" si="10"/>
        <v>#VALUE!</v>
      </c>
      <c r="BE23" s="105"/>
      <c r="BF23" s="115" t="s">
        <v>62</v>
      </c>
    </row>
    <row r="24" spans="1:58">
      <c r="A24" s="59">
        <v>18</v>
      </c>
      <c r="B24" s="103"/>
      <c r="C24" s="104"/>
      <c r="D24" s="105"/>
      <c r="E24" s="104"/>
      <c r="F24" s="106"/>
      <c r="G24" s="107"/>
      <c r="H24" s="105"/>
      <c r="I24" s="105"/>
      <c r="J24" s="105"/>
      <c r="K24" s="105"/>
      <c r="L24" s="105"/>
      <c r="M24" s="105"/>
      <c r="N24" s="105"/>
      <c r="O24" s="105"/>
      <c r="P24" s="105"/>
      <c r="Q24" s="105"/>
      <c r="R24" s="105"/>
      <c r="S24" s="105"/>
      <c r="T24" s="105"/>
      <c r="U24" s="105"/>
      <c r="V24" s="105"/>
      <c r="W24" s="105"/>
      <c r="X24" s="105"/>
      <c r="Y24" s="105"/>
      <c r="Z24" s="105"/>
      <c r="AA24" s="105"/>
      <c r="AB24" s="105"/>
      <c r="AC24" s="105"/>
      <c r="AD24" s="105"/>
      <c r="AE24" s="105"/>
      <c r="AF24" s="105"/>
      <c r="AG24" s="105"/>
      <c r="AH24" s="105"/>
      <c r="AI24" s="105"/>
      <c r="AJ24" s="105"/>
      <c r="AK24" s="105"/>
      <c r="AL24" s="97"/>
      <c r="AM24" s="60">
        <f t="shared" si="0"/>
        <v>0</v>
      </c>
      <c r="AN24" s="61">
        <f t="shared" si="1"/>
        <v>0</v>
      </c>
      <c r="AO24" s="61">
        <f t="shared" si="2"/>
        <v>0</v>
      </c>
      <c r="AP24" s="61"/>
      <c r="AQ24" s="61"/>
      <c r="AR24" s="61"/>
      <c r="AS24" s="61" t="e">
        <f t="shared" si="3"/>
        <v>#VALUE!</v>
      </c>
      <c r="AT24" s="105"/>
      <c r="AU24" s="105"/>
      <c r="AV24" s="61" t="e">
        <f t="shared" si="17"/>
        <v>#VALUE!</v>
      </c>
      <c r="AW24" s="61" t="e">
        <f t="shared" si="4"/>
        <v>#VALUE!</v>
      </c>
      <c r="AX24" s="61" t="e">
        <f t="shared" si="5"/>
        <v>#VALUE!</v>
      </c>
      <c r="AY24" s="61" t="e">
        <f t="shared" si="6"/>
        <v>#VALUE!</v>
      </c>
      <c r="AZ24" s="61" t="e">
        <f t="shared" si="7"/>
        <v>#VALUE!</v>
      </c>
      <c r="BA24" s="61" t="e">
        <f t="shared" si="8"/>
        <v>#VALUE!</v>
      </c>
      <c r="BB24" s="61">
        <f t="shared" si="9"/>
        <v>0</v>
      </c>
      <c r="BC24" s="105"/>
      <c r="BD24" s="62" t="e">
        <f t="shared" si="10"/>
        <v>#VALUE!</v>
      </c>
      <c r="BE24" s="105"/>
      <c r="BF24" s="115" t="s">
        <v>62</v>
      </c>
    </row>
    <row r="25" spans="1:58">
      <c r="A25" s="59">
        <v>19</v>
      </c>
      <c r="B25" s="103"/>
      <c r="C25" s="104"/>
      <c r="D25" s="105"/>
      <c r="E25" s="104"/>
      <c r="F25" s="106"/>
      <c r="G25" s="107"/>
      <c r="H25" s="105"/>
      <c r="I25" s="105"/>
      <c r="J25" s="105"/>
      <c r="K25" s="105"/>
      <c r="L25" s="105"/>
      <c r="M25" s="105"/>
      <c r="N25" s="105"/>
      <c r="O25" s="105"/>
      <c r="P25" s="105"/>
      <c r="Q25" s="105"/>
      <c r="R25" s="105"/>
      <c r="S25" s="105"/>
      <c r="T25" s="105"/>
      <c r="U25" s="105"/>
      <c r="V25" s="105"/>
      <c r="W25" s="105"/>
      <c r="X25" s="105"/>
      <c r="Y25" s="105"/>
      <c r="Z25" s="105"/>
      <c r="AA25" s="105"/>
      <c r="AB25" s="105"/>
      <c r="AC25" s="105"/>
      <c r="AD25" s="105"/>
      <c r="AE25" s="105"/>
      <c r="AF25" s="105"/>
      <c r="AG25" s="105"/>
      <c r="AH25" s="105"/>
      <c r="AI25" s="105"/>
      <c r="AJ25" s="105"/>
      <c r="AK25" s="105"/>
      <c r="AL25" s="97"/>
      <c r="AM25" s="60">
        <f t="shared" si="0"/>
        <v>0</v>
      </c>
      <c r="AN25" s="61">
        <f t="shared" si="1"/>
        <v>0</v>
      </c>
      <c r="AO25" s="61">
        <f t="shared" si="2"/>
        <v>0</v>
      </c>
      <c r="AP25" s="61"/>
      <c r="AQ25" s="61"/>
      <c r="AR25" s="61"/>
      <c r="AS25" s="61" t="e">
        <f t="shared" si="3"/>
        <v>#VALUE!</v>
      </c>
      <c r="AT25" s="105"/>
      <c r="AU25" s="105"/>
      <c r="AV25" s="61" t="e">
        <f t="shared" si="17"/>
        <v>#VALUE!</v>
      </c>
      <c r="AW25" s="61" t="e">
        <f t="shared" si="4"/>
        <v>#VALUE!</v>
      </c>
      <c r="AX25" s="61" t="e">
        <f t="shared" si="5"/>
        <v>#VALUE!</v>
      </c>
      <c r="AY25" s="61" t="e">
        <f t="shared" si="6"/>
        <v>#VALUE!</v>
      </c>
      <c r="AZ25" s="61" t="e">
        <f t="shared" si="7"/>
        <v>#VALUE!</v>
      </c>
      <c r="BA25" s="61" t="e">
        <f t="shared" si="8"/>
        <v>#VALUE!</v>
      </c>
      <c r="BB25" s="61">
        <f t="shared" si="9"/>
        <v>0</v>
      </c>
      <c r="BC25" s="105"/>
      <c r="BD25" s="62" t="e">
        <f t="shared" si="10"/>
        <v>#VALUE!</v>
      </c>
      <c r="BE25" s="105"/>
      <c r="BF25" s="115" t="s">
        <v>62</v>
      </c>
    </row>
    <row r="26" spans="1:58">
      <c r="A26" s="59">
        <v>20</v>
      </c>
      <c r="B26" s="103"/>
      <c r="C26" s="104"/>
      <c r="D26" s="105"/>
      <c r="E26" s="104"/>
      <c r="F26" s="106"/>
      <c r="G26" s="107"/>
      <c r="H26" s="105"/>
      <c r="I26" s="105"/>
      <c r="J26" s="105"/>
      <c r="K26" s="105"/>
      <c r="L26" s="105"/>
      <c r="M26" s="105"/>
      <c r="N26" s="105"/>
      <c r="O26" s="105"/>
      <c r="P26" s="105"/>
      <c r="Q26" s="105"/>
      <c r="R26" s="105"/>
      <c r="S26" s="105"/>
      <c r="T26" s="105"/>
      <c r="U26" s="105"/>
      <c r="V26" s="105"/>
      <c r="W26" s="105"/>
      <c r="X26" s="105"/>
      <c r="Y26" s="105"/>
      <c r="Z26" s="105"/>
      <c r="AA26" s="105"/>
      <c r="AB26" s="105"/>
      <c r="AC26" s="105"/>
      <c r="AD26" s="105"/>
      <c r="AE26" s="105"/>
      <c r="AF26" s="105"/>
      <c r="AG26" s="105"/>
      <c r="AH26" s="105"/>
      <c r="AI26" s="105"/>
      <c r="AJ26" s="105"/>
      <c r="AK26" s="105"/>
      <c r="AL26" s="97"/>
      <c r="AM26" s="60">
        <f t="shared" si="0"/>
        <v>0</v>
      </c>
      <c r="AN26" s="61">
        <f t="shared" si="1"/>
        <v>0</v>
      </c>
      <c r="AO26" s="61">
        <f t="shared" si="2"/>
        <v>0</v>
      </c>
      <c r="AP26" s="61"/>
      <c r="AQ26" s="61"/>
      <c r="AR26" s="61"/>
      <c r="AS26" s="61" t="e">
        <f t="shared" si="3"/>
        <v>#VALUE!</v>
      </c>
      <c r="AT26" s="105"/>
      <c r="AU26" s="105"/>
      <c r="AV26" s="61" t="e">
        <f t="shared" si="17"/>
        <v>#VALUE!</v>
      </c>
      <c r="AW26" s="61" t="e">
        <f t="shared" si="4"/>
        <v>#VALUE!</v>
      </c>
      <c r="AX26" s="61" t="e">
        <f t="shared" si="5"/>
        <v>#VALUE!</v>
      </c>
      <c r="AY26" s="61" t="e">
        <f t="shared" si="6"/>
        <v>#VALUE!</v>
      </c>
      <c r="AZ26" s="61" t="e">
        <f t="shared" si="7"/>
        <v>#VALUE!</v>
      </c>
      <c r="BA26" s="61" t="e">
        <f t="shared" si="8"/>
        <v>#VALUE!</v>
      </c>
      <c r="BB26" s="61">
        <f t="shared" si="9"/>
        <v>0</v>
      </c>
      <c r="BC26" s="105"/>
      <c r="BD26" s="62" t="e">
        <f t="shared" si="10"/>
        <v>#VALUE!</v>
      </c>
      <c r="BE26" s="105"/>
      <c r="BF26" s="115" t="s">
        <v>62</v>
      </c>
    </row>
    <row r="27" spans="1:58">
      <c r="A27" s="59">
        <v>21</v>
      </c>
      <c r="B27" s="103"/>
      <c r="C27" s="104"/>
      <c r="D27" s="105"/>
      <c r="E27" s="104"/>
      <c r="F27" s="106"/>
      <c r="G27" s="107"/>
      <c r="H27" s="105"/>
      <c r="I27" s="105"/>
      <c r="J27" s="105"/>
      <c r="K27" s="105"/>
      <c r="L27" s="105"/>
      <c r="M27" s="105"/>
      <c r="N27" s="105"/>
      <c r="O27" s="105"/>
      <c r="P27" s="105"/>
      <c r="Q27" s="105"/>
      <c r="R27" s="105"/>
      <c r="S27" s="105"/>
      <c r="T27" s="105"/>
      <c r="U27" s="105"/>
      <c r="V27" s="105"/>
      <c r="W27" s="105"/>
      <c r="X27" s="105"/>
      <c r="Y27" s="105"/>
      <c r="Z27" s="105"/>
      <c r="AA27" s="105"/>
      <c r="AB27" s="105"/>
      <c r="AC27" s="105"/>
      <c r="AD27" s="105"/>
      <c r="AE27" s="105"/>
      <c r="AF27" s="105"/>
      <c r="AG27" s="105"/>
      <c r="AH27" s="105"/>
      <c r="AI27" s="105"/>
      <c r="AJ27" s="105"/>
      <c r="AK27" s="105"/>
      <c r="AL27" s="97"/>
      <c r="AM27" s="60">
        <f t="shared" si="0"/>
        <v>0</v>
      </c>
      <c r="AN27" s="61">
        <f t="shared" si="1"/>
        <v>0</v>
      </c>
      <c r="AO27" s="61">
        <f t="shared" si="2"/>
        <v>0</v>
      </c>
      <c r="AP27" s="61"/>
      <c r="AQ27" s="61"/>
      <c r="AR27" s="61"/>
      <c r="AS27" s="61" t="e">
        <f t="shared" si="3"/>
        <v>#VALUE!</v>
      </c>
      <c r="AT27" s="105"/>
      <c r="AU27" s="105"/>
      <c r="AV27" s="61" t="e">
        <f t="shared" si="17"/>
        <v>#VALUE!</v>
      </c>
      <c r="AW27" s="61" t="e">
        <f t="shared" si="4"/>
        <v>#VALUE!</v>
      </c>
      <c r="AX27" s="61" t="e">
        <f t="shared" si="5"/>
        <v>#VALUE!</v>
      </c>
      <c r="AY27" s="61" t="e">
        <f t="shared" si="6"/>
        <v>#VALUE!</v>
      </c>
      <c r="AZ27" s="61" t="e">
        <f t="shared" si="7"/>
        <v>#VALUE!</v>
      </c>
      <c r="BA27" s="61" t="e">
        <f t="shared" si="8"/>
        <v>#VALUE!</v>
      </c>
      <c r="BB27" s="61">
        <f t="shared" si="9"/>
        <v>0</v>
      </c>
      <c r="BC27" s="105"/>
      <c r="BD27" s="62" t="e">
        <f t="shared" si="10"/>
        <v>#VALUE!</v>
      </c>
      <c r="BE27" s="105"/>
      <c r="BF27" s="115" t="s">
        <v>62</v>
      </c>
    </row>
    <row r="28" spans="1:58">
      <c r="A28" s="59">
        <v>22</v>
      </c>
      <c r="B28" s="103"/>
      <c r="C28" s="104"/>
      <c r="D28" s="105"/>
      <c r="E28" s="104"/>
      <c r="F28" s="106"/>
      <c r="G28" s="107"/>
      <c r="H28" s="105"/>
      <c r="I28" s="105"/>
      <c r="J28" s="105"/>
      <c r="K28" s="105"/>
      <c r="L28" s="105"/>
      <c r="M28" s="105"/>
      <c r="N28" s="105"/>
      <c r="O28" s="105"/>
      <c r="P28" s="105"/>
      <c r="Q28" s="105"/>
      <c r="R28" s="105"/>
      <c r="S28" s="105"/>
      <c r="T28" s="105"/>
      <c r="U28" s="105"/>
      <c r="V28" s="105"/>
      <c r="W28" s="105"/>
      <c r="X28" s="105"/>
      <c r="Y28" s="105"/>
      <c r="Z28" s="105"/>
      <c r="AA28" s="105"/>
      <c r="AB28" s="105"/>
      <c r="AC28" s="105"/>
      <c r="AD28" s="105"/>
      <c r="AE28" s="105"/>
      <c r="AF28" s="105"/>
      <c r="AG28" s="105"/>
      <c r="AH28" s="105"/>
      <c r="AI28" s="105"/>
      <c r="AJ28" s="105"/>
      <c r="AK28" s="105"/>
      <c r="AL28" s="97"/>
      <c r="AM28" s="60">
        <f t="shared" si="0"/>
        <v>0</v>
      </c>
      <c r="AN28" s="61">
        <f t="shared" si="1"/>
        <v>0</v>
      </c>
      <c r="AO28" s="61">
        <f t="shared" si="2"/>
        <v>0</v>
      </c>
      <c r="AP28" s="61"/>
      <c r="AQ28" s="61"/>
      <c r="AR28" s="61"/>
      <c r="AS28" s="61" t="e">
        <f t="shared" si="3"/>
        <v>#VALUE!</v>
      </c>
      <c r="AT28" s="105"/>
      <c r="AU28" s="105"/>
      <c r="AV28" s="61" t="e">
        <f t="shared" si="17"/>
        <v>#VALUE!</v>
      </c>
      <c r="AW28" s="61" t="e">
        <f t="shared" si="4"/>
        <v>#VALUE!</v>
      </c>
      <c r="AX28" s="61" t="e">
        <f t="shared" si="5"/>
        <v>#VALUE!</v>
      </c>
      <c r="AY28" s="61" t="e">
        <f t="shared" si="6"/>
        <v>#VALUE!</v>
      </c>
      <c r="AZ28" s="61" t="e">
        <f t="shared" si="7"/>
        <v>#VALUE!</v>
      </c>
      <c r="BA28" s="61" t="e">
        <f t="shared" si="8"/>
        <v>#VALUE!</v>
      </c>
      <c r="BB28" s="61">
        <f t="shared" si="9"/>
        <v>0</v>
      </c>
      <c r="BC28" s="105"/>
      <c r="BD28" s="62" t="e">
        <f t="shared" si="10"/>
        <v>#VALUE!</v>
      </c>
      <c r="BE28" s="105"/>
      <c r="BF28" s="115" t="s">
        <v>62</v>
      </c>
    </row>
    <row r="29" spans="1:58">
      <c r="A29" s="59">
        <v>23</v>
      </c>
      <c r="B29" s="103"/>
      <c r="C29" s="104"/>
      <c r="D29" s="105"/>
      <c r="E29" s="104"/>
      <c r="F29" s="106"/>
      <c r="G29" s="107"/>
      <c r="H29" s="105"/>
      <c r="I29" s="105"/>
      <c r="J29" s="105"/>
      <c r="K29" s="105"/>
      <c r="L29" s="105"/>
      <c r="M29" s="105"/>
      <c r="N29" s="105"/>
      <c r="O29" s="105"/>
      <c r="P29" s="105"/>
      <c r="Q29" s="105"/>
      <c r="R29" s="105"/>
      <c r="S29" s="105"/>
      <c r="T29" s="105"/>
      <c r="U29" s="105"/>
      <c r="V29" s="105"/>
      <c r="W29" s="105"/>
      <c r="X29" s="105"/>
      <c r="Y29" s="105"/>
      <c r="Z29" s="105"/>
      <c r="AA29" s="105"/>
      <c r="AB29" s="105"/>
      <c r="AC29" s="105"/>
      <c r="AD29" s="105"/>
      <c r="AE29" s="105"/>
      <c r="AF29" s="105"/>
      <c r="AG29" s="105"/>
      <c r="AH29" s="105"/>
      <c r="AI29" s="105"/>
      <c r="AJ29" s="105"/>
      <c r="AK29" s="105"/>
      <c r="AL29" s="97"/>
      <c r="AM29" s="60">
        <f t="shared" si="0"/>
        <v>0</v>
      </c>
      <c r="AN29" s="61">
        <f t="shared" si="1"/>
        <v>0</v>
      </c>
      <c r="AO29" s="61">
        <f t="shared" si="2"/>
        <v>0</v>
      </c>
      <c r="AP29" s="61"/>
      <c r="AQ29" s="61"/>
      <c r="AR29" s="61"/>
      <c r="AS29" s="61" t="e">
        <f t="shared" si="3"/>
        <v>#VALUE!</v>
      </c>
      <c r="AT29" s="105"/>
      <c r="AU29" s="105"/>
      <c r="AV29" s="61" t="e">
        <f t="shared" si="17"/>
        <v>#VALUE!</v>
      </c>
      <c r="AW29" s="61" t="e">
        <f t="shared" si="4"/>
        <v>#VALUE!</v>
      </c>
      <c r="AX29" s="61" t="e">
        <f t="shared" si="5"/>
        <v>#VALUE!</v>
      </c>
      <c r="AY29" s="61" t="e">
        <f t="shared" si="6"/>
        <v>#VALUE!</v>
      </c>
      <c r="AZ29" s="61" t="e">
        <f t="shared" si="7"/>
        <v>#VALUE!</v>
      </c>
      <c r="BA29" s="61" t="e">
        <f t="shared" si="8"/>
        <v>#VALUE!</v>
      </c>
      <c r="BB29" s="61">
        <f t="shared" si="9"/>
        <v>0</v>
      </c>
      <c r="BC29" s="105"/>
      <c r="BD29" s="62" t="e">
        <f t="shared" si="10"/>
        <v>#VALUE!</v>
      </c>
      <c r="BE29" s="105"/>
      <c r="BF29" s="115" t="s">
        <v>62</v>
      </c>
    </row>
    <row r="30" spans="1:58">
      <c r="A30" s="59">
        <v>24</v>
      </c>
      <c r="B30" s="103"/>
      <c r="C30" s="104"/>
      <c r="D30" s="105"/>
      <c r="E30" s="104"/>
      <c r="F30" s="106"/>
      <c r="G30" s="107"/>
      <c r="H30" s="105"/>
      <c r="I30" s="105"/>
      <c r="J30" s="105"/>
      <c r="K30" s="105"/>
      <c r="L30" s="105"/>
      <c r="M30" s="105"/>
      <c r="N30" s="105"/>
      <c r="O30" s="105"/>
      <c r="P30" s="105"/>
      <c r="Q30" s="105"/>
      <c r="R30" s="105"/>
      <c r="S30" s="105"/>
      <c r="T30" s="105"/>
      <c r="U30" s="105"/>
      <c r="V30" s="105"/>
      <c r="W30" s="105"/>
      <c r="X30" s="105"/>
      <c r="Y30" s="105"/>
      <c r="Z30" s="105"/>
      <c r="AA30" s="105"/>
      <c r="AB30" s="105"/>
      <c r="AC30" s="105"/>
      <c r="AD30" s="105"/>
      <c r="AE30" s="105"/>
      <c r="AF30" s="105"/>
      <c r="AG30" s="105"/>
      <c r="AH30" s="105"/>
      <c r="AI30" s="105"/>
      <c r="AJ30" s="105"/>
      <c r="AK30" s="105"/>
      <c r="AL30" s="97"/>
      <c r="AM30" s="60">
        <f t="shared" si="0"/>
        <v>0</v>
      </c>
      <c r="AN30" s="61">
        <f t="shared" si="1"/>
        <v>0</v>
      </c>
      <c r="AO30" s="61">
        <f t="shared" si="2"/>
        <v>0</v>
      </c>
      <c r="AP30" s="61"/>
      <c r="AQ30" s="61"/>
      <c r="AR30" s="61"/>
      <c r="AS30" s="61" t="e">
        <f t="shared" si="3"/>
        <v>#VALUE!</v>
      </c>
      <c r="AT30" s="105"/>
      <c r="AU30" s="105"/>
      <c r="AV30" s="61" t="e">
        <f t="shared" si="17"/>
        <v>#VALUE!</v>
      </c>
      <c r="AW30" s="61" t="e">
        <f t="shared" si="4"/>
        <v>#VALUE!</v>
      </c>
      <c r="AX30" s="61" t="e">
        <f t="shared" si="5"/>
        <v>#VALUE!</v>
      </c>
      <c r="AY30" s="61" t="e">
        <f t="shared" si="6"/>
        <v>#VALUE!</v>
      </c>
      <c r="AZ30" s="61" t="e">
        <f t="shared" si="7"/>
        <v>#VALUE!</v>
      </c>
      <c r="BA30" s="61" t="e">
        <f t="shared" si="8"/>
        <v>#VALUE!</v>
      </c>
      <c r="BB30" s="61">
        <f t="shared" si="9"/>
        <v>0</v>
      </c>
      <c r="BC30" s="105"/>
      <c r="BD30" s="62" t="e">
        <f t="shared" si="10"/>
        <v>#VALUE!</v>
      </c>
      <c r="BE30" s="105"/>
      <c r="BF30" s="115" t="s">
        <v>62</v>
      </c>
    </row>
    <row r="31" spans="1:58">
      <c r="A31" s="59">
        <v>25</v>
      </c>
      <c r="B31" s="103"/>
      <c r="C31" s="104"/>
      <c r="D31" s="105"/>
      <c r="E31" s="104"/>
      <c r="F31" s="106"/>
      <c r="G31" s="107"/>
      <c r="H31" s="105"/>
      <c r="I31" s="105"/>
      <c r="J31" s="105"/>
      <c r="K31" s="105"/>
      <c r="L31" s="105"/>
      <c r="M31" s="105"/>
      <c r="N31" s="105"/>
      <c r="O31" s="105"/>
      <c r="P31" s="105"/>
      <c r="Q31" s="105"/>
      <c r="R31" s="105"/>
      <c r="S31" s="105"/>
      <c r="T31" s="105"/>
      <c r="U31" s="105"/>
      <c r="V31" s="105"/>
      <c r="W31" s="105"/>
      <c r="X31" s="105"/>
      <c r="Y31" s="105"/>
      <c r="Z31" s="105"/>
      <c r="AA31" s="105"/>
      <c r="AB31" s="105"/>
      <c r="AC31" s="105"/>
      <c r="AD31" s="105"/>
      <c r="AE31" s="105"/>
      <c r="AF31" s="105"/>
      <c r="AG31" s="105"/>
      <c r="AH31" s="105"/>
      <c r="AI31" s="105"/>
      <c r="AJ31" s="105"/>
      <c r="AK31" s="105"/>
      <c r="AL31" s="97"/>
      <c r="AM31" s="60">
        <f t="shared" si="0"/>
        <v>0</v>
      </c>
      <c r="AN31" s="61">
        <f t="shared" si="1"/>
        <v>0</v>
      </c>
      <c r="AO31" s="61">
        <f t="shared" si="2"/>
        <v>0</v>
      </c>
      <c r="AP31" s="61"/>
      <c r="AQ31" s="61"/>
      <c r="AR31" s="61"/>
      <c r="AS31" s="61" t="e">
        <f t="shared" si="3"/>
        <v>#VALUE!</v>
      </c>
      <c r="AT31" s="105"/>
      <c r="AU31" s="105"/>
      <c r="AV31" s="61" t="e">
        <f t="shared" si="17"/>
        <v>#VALUE!</v>
      </c>
      <c r="AW31" s="61" t="e">
        <f t="shared" si="4"/>
        <v>#VALUE!</v>
      </c>
      <c r="AX31" s="61" t="e">
        <f t="shared" si="5"/>
        <v>#VALUE!</v>
      </c>
      <c r="AY31" s="61" t="e">
        <f t="shared" si="6"/>
        <v>#VALUE!</v>
      </c>
      <c r="AZ31" s="61" t="e">
        <f t="shared" si="7"/>
        <v>#VALUE!</v>
      </c>
      <c r="BA31" s="61" t="e">
        <f t="shared" si="8"/>
        <v>#VALUE!</v>
      </c>
      <c r="BB31" s="61">
        <f t="shared" si="9"/>
        <v>0</v>
      </c>
      <c r="BC31" s="105"/>
      <c r="BD31" s="62" t="e">
        <f t="shared" si="10"/>
        <v>#VALUE!</v>
      </c>
      <c r="BE31" s="105"/>
      <c r="BF31" s="115" t="s">
        <v>62</v>
      </c>
    </row>
    <row r="32" spans="1:58">
      <c r="A32" s="59">
        <v>26</v>
      </c>
      <c r="B32" s="103"/>
      <c r="C32" s="104"/>
      <c r="D32" s="105"/>
      <c r="E32" s="104"/>
      <c r="F32" s="106"/>
      <c r="G32" s="107"/>
      <c r="H32" s="105"/>
      <c r="I32" s="105"/>
      <c r="J32" s="105"/>
      <c r="K32" s="105"/>
      <c r="L32" s="105"/>
      <c r="M32" s="105"/>
      <c r="N32" s="105"/>
      <c r="O32" s="105"/>
      <c r="P32" s="105"/>
      <c r="Q32" s="105"/>
      <c r="R32" s="105"/>
      <c r="S32" s="105"/>
      <c r="T32" s="105"/>
      <c r="U32" s="105"/>
      <c r="V32" s="105"/>
      <c r="W32" s="105"/>
      <c r="X32" s="105"/>
      <c r="Y32" s="105"/>
      <c r="Z32" s="105"/>
      <c r="AA32" s="105"/>
      <c r="AB32" s="105"/>
      <c r="AC32" s="105"/>
      <c r="AD32" s="105"/>
      <c r="AE32" s="105"/>
      <c r="AF32" s="105"/>
      <c r="AG32" s="105"/>
      <c r="AH32" s="105"/>
      <c r="AI32" s="105"/>
      <c r="AJ32" s="105"/>
      <c r="AK32" s="105"/>
      <c r="AL32" s="97"/>
      <c r="AM32" s="60">
        <f t="shared" si="0"/>
        <v>0</v>
      </c>
      <c r="AN32" s="61">
        <f t="shared" si="1"/>
        <v>0</v>
      </c>
      <c r="AO32" s="61">
        <f t="shared" si="2"/>
        <v>0</v>
      </c>
      <c r="AP32" s="61"/>
      <c r="AQ32" s="61"/>
      <c r="AR32" s="61"/>
      <c r="AS32" s="61" t="e">
        <f t="shared" si="3"/>
        <v>#VALUE!</v>
      </c>
      <c r="AT32" s="105"/>
      <c r="AU32" s="105"/>
      <c r="AV32" s="61" t="e">
        <f t="shared" si="17"/>
        <v>#VALUE!</v>
      </c>
      <c r="AW32" s="61" t="e">
        <f t="shared" si="4"/>
        <v>#VALUE!</v>
      </c>
      <c r="AX32" s="61" t="e">
        <f t="shared" si="5"/>
        <v>#VALUE!</v>
      </c>
      <c r="AY32" s="61" t="e">
        <f t="shared" si="6"/>
        <v>#VALUE!</v>
      </c>
      <c r="AZ32" s="61" t="e">
        <f t="shared" si="7"/>
        <v>#VALUE!</v>
      </c>
      <c r="BA32" s="61" t="e">
        <f t="shared" si="8"/>
        <v>#VALUE!</v>
      </c>
      <c r="BB32" s="61">
        <f t="shared" si="9"/>
        <v>0</v>
      </c>
      <c r="BC32" s="105"/>
      <c r="BD32" s="62" t="e">
        <f t="shared" si="10"/>
        <v>#VALUE!</v>
      </c>
      <c r="BE32" s="105"/>
      <c r="BF32" s="115" t="s">
        <v>62</v>
      </c>
    </row>
    <row r="33" spans="1:58">
      <c r="A33" s="59">
        <v>27</v>
      </c>
      <c r="B33" s="103"/>
      <c r="C33" s="104"/>
      <c r="D33" s="105"/>
      <c r="E33" s="104"/>
      <c r="F33" s="106"/>
      <c r="G33" s="107"/>
      <c r="H33" s="105"/>
      <c r="I33" s="105"/>
      <c r="J33" s="105"/>
      <c r="K33" s="105"/>
      <c r="L33" s="105"/>
      <c r="M33" s="105"/>
      <c r="N33" s="105"/>
      <c r="O33" s="105"/>
      <c r="P33" s="105"/>
      <c r="Q33" s="105"/>
      <c r="R33" s="105"/>
      <c r="S33" s="105"/>
      <c r="T33" s="105"/>
      <c r="U33" s="105"/>
      <c r="V33" s="105"/>
      <c r="W33" s="105"/>
      <c r="X33" s="105"/>
      <c r="Y33" s="105"/>
      <c r="Z33" s="105"/>
      <c r="AA33" s="105"/>
      <c r="AB33" s="105"/>
      <c r="AC33" s="105"/>
      <c r="AD33" s="105"/>
      <c r="AE33" s="105"/>
      <c r="AF33" s="105"/>
      <c r="AG33" s="105"/>
      <c r="AH33" s="105"/>
      <c r="AI33" s="105"/>
      <c r="AJ33" s="105"/>
      <c r="AK33" s="105"/>
      <c r="AL33" s="97"/>
      <c r="AM33" s="60">
        <f t="shared" si="0"/>
        <v>0</v>
      </c>
      <c r="AN33" s="61">
        <f t="shared" si="1"/>
        <v>0</v>
      </c>
      <c r="AO33" s="61">
        <f t="shared" si="2"/>
        <v>0</v>
      </c>
      <c r="AP33" s="61"/>
      <c r="AQ33" s="61"/>
      <c r="AR33" s="61"/>
      <c r="AS33" s="61" t="e">
        <f t="shared" si="3"/>
        <v>#VALUE!</v>
      </c>
      <c r="AT33" s="105"/>
      <c r="AU33" s="105"/>
      <c r="AV33" s="61" t="e">
        <f t="shared" si="17"/>
        <v>#VALUE!</v>
      </c>
      <c r="AW33" s="61" t="e">
        <f t="shared" si="4"/>
        <v>#VALUE!</v>
      </c>
      <c r="AX33" s="61" t="e">
        <f t="shared" si="5"/>
        <v>#VALUE!</v>
      </c>
      <c r="AY33" s="61" t="e">
        <f t="shared" si="6"/>
        <v>#VALUE!</v>
      </c>
      <c r="AZ33" s="61" t="e">
        <f t="shared" si="7"/>
        <v>#VALUE!</v>
      </c>
      <c r="BA33" s="61" t="e">
        <f t="shared" si="8"/>
        <v>#VALUE!</v>
      </c>
      <c r="BB33" s="61">
        <f t="shared" si="9"/>
        <v>0</v>
      </c>
      <c r="BC33" s="105"/>
      <c r="BD33" s="62" t="e">
        <f t="shared" si="10"/>
        <v>#VALUE!</v>
      </c>
      <c r="BE33" s="105"/>
      <c r="BF33" s="115" t="s">
        <v>62</v>
      </c>
    </row>
    <row r="34" spans="1:58">
      <c r="A34" s="59">
        <v>28</v>
      </c>
      <c r="B34" s="103"/>
      <c r="C34" s="104"/>
      <c r="D34" s="105"/>
      <c r="E34" s="104"/>
      <c r="F34" s="106"/>
      <c r="G34" s="107"/>
      <c r="H34" s="105"/>
      <c r="I34" s="105"/>
      <c r="J34" s="105"/>
      <c r="K34" s="105"/>
      <c r="L34" s="105"/>
      <c r="M34" s="105"/>
      <c r="N34" s="105"/>
      <c r="O34" s="105"/>
      <c r="P34" s="105"/>
      <c r="Q34" s="105"/>
      <c r="R34" s="105"/>
      <c r="S34" s="105"/>
      <c r="T34" s="105"/>
      <c r="U34" s="105"/>
      <c r="V34" s="105"/>
      <c r="W34" s="105"/>
      <c r="X34" s="105"/>
      <c r="Y34" s="105"/>
      <c r="Z34" s="105"/>
      <c r="AA34" s="105"/>
      <c r="AB34" s="105"/>
      <c r="AC34" s="105"/>
      <c r="AD34" s="105"/>
      <c r="AE34" s="105"/>
      <c r="AF34" s="105"/>
      <c r="AG34" s="105"/>
      <c r="AH34" s="105"/>
      <c r="AI34" s="105"/>
      <c r="AJ34" s="105"/>
      <c r="AK34" s="105"/>
      <c r="AL34" s="97"/>
      <c r="AM34" s="60">
        <f t="shared" si="0"/>
        <v>0</v>
      </c>
      <c r="AN34" s="61">
        <f t="shared" si="1"/>
        <v>0</v>
      </c>
      <c r="AO34" s="61">
        <f t="shared" si="2"/>
        <v>0</v>
      </c>
      <c r="AP34" s="61"/>
      <c r="AQ34" s="61"/>
      <c r="AR34" s="61"/>
      <c r="AS34" s="61" t="e">
        <f t="shared" si="3"/>
        <v>#VALUE!</v>
      </c>
      <c r="AT34" s="105"/>
      <c r="AU34" s="105"/>
      <c r="AV34" s="61" t="e">
        <f t="shared" si="17"/>
        <v>#VALUE!</v>
      </c>
      <c r="AW34" s="61" t="e">
        <f t="shared" si="4"/>
        <v>#VALUE!</v>
      </c>
      <c r="AX34" s="61" t="e">
        <f t="shared" si="5"/>
        <v>#VALUE!</v>
      </c>
      <c r="AY34" s="61" t="e">
        <f t="shared" si="6"/>
        <v>#VALUE!</v>
      </c>
      <c r="AZ34" s="61" t="e">
        <f t="shared" si="7"/>
        <v>#VALUE!</v>
      </c>
      <c r="BA34" s="61" t="e">
        <f t="shared" si="8"/>
        <v>#VALUE!</v>
      </c>
      <c r="BB34" s="61">
        <f t="shared" si="9"/>
        <v>0</v>
      </c>
      <c r="BC34" s="105"/>
      <c r="BD34" s="62" t="e">
        <f t="shared" si="10"/>
        <v>#VALUE!</v>
      </c>
      <c r="BE34" s="105"/>
      <c r="BF34" s="115" t="s">
        <v>62</v>
      </c>
    </row>
    <row r="35" spans="1:58">
      <c r="A35" s="59">
        <v>29</v>
      </c>
      <c r="B35" s="103"/>
      <c r="C35" s="104"/>
      <c r="D35" s="105"/>
      <c r="E35" s="104"/>
      <c r="F35" s="106"/>
      <c r="G35" s="107"/>
      <c r="H35" s="105"/>
      <c r="I35" s="105"/>
      <c r="J35" s="105"/>
      <c r="K35" s="105"/>
      <c r="L35" s="105"/>
      <c r="M35" s="105"/>
      <c r="N35" s="105"/>
      <c r="O35" s="105"/>
      <c r="P35" s="105"/>
      <c r="Q35" s="105"/>
      <c r="R35" s="105"/>
      <c r="S35" s="105"/>
      <c r="T35" s="105"/>
      <c r="U35" s="105"/>
      <c r="V35" s="105"/>
      <c r="W35" s="105"/>
      <c r="X35" s="105"/>
      <c r="Y35" s="105"/>
      <c r="Z35" s="105"/>
      <c r="AA35" s="105"/>
      <c r="AB35" s="105"/>
      <c r="AC35" s="105"/>
      <c r="AD35" s="105"/>
      <c r="AE35" s="105"/>
      <c r="AF35" s="105"/>
      <c r="AG35" s="105"/>
      <c r="AH35" s="105"/>
      <c r="AI35" s="105"/>
      <c r="AJ35" s="105"/>
      <c r="AK35" s="105"/>
      <c r="AL35" s="97"/>
      <c r="AM35" s="60">
        <f t="shared" si="0"/>
        <v>0</v>
      </c>
      <c r="AN35" s="61">
        <f t="shared" si="1"/>
        <v>0</v>
      </c>
      <c r="AO35" s="61">
        <f t="shared" si="2"/>
        <v>0</v>
      </c>
      <c r="AP35" s="61"/>
      <c r="AQ35" s="61"/>
      <c r="AR35" s="61"/>
      <c r="AS35" s="61" t="e">
        <f t="shared" si="3"/>
        <v>#VALUE!</v>
      </c>
      <c r="AT35" s="105"/>
      <c r="AU35" s="105"/>
      <c r="AV35" s="61" t="e">
        <f t="shared" si="17"/>
        <v>#VALUE!</v>
      </c>
      <c r="AW35" s="61" t="e">
        <f t="shared" si="4"/>
        <v>#VALUE!</v>
      </c>
      <c r="AX35" s="61" t="e">
        <f t="shared" si="5"/>
        <v>#VALUE!</v>
      </c>
      <c r="AY35" s="61" t="e">
        <f t="shared" si="6"/>
        <v>#VALUE!</v>
      </c>
      <c r="AZ35" s="61" t="e">
        <f t="shared" si="7"/>
        <v>#VALUE!</v>
      </c>
      <c r="BA35" s="61" t="e">
        <f t="shared" si="8"/>
        <v>#VALUE!</v>
      </c>
      <c r="BB35" s="61">
        <f t="shared" si="9"/>
        <v>0</v>
      </c>
      <c r="BC35" s="105"/>
      <c r="BD35" s="62" t="e">
        <f t="shared" si="10"/>
        <v>#VALUE!</v>
      </c>
      <c r="BE35" s="105"/>
      <c r="BF35" s="115" t="s">
        <v>62</v>
      </c>
    </row>
    <row r="36" spans="1:58">
      <c r="A36" s="59">
        <v>30</v>
      </c>
      <c r="B36" s="103"/>
      <c r="C36" s="104"/>
      <c r="D36" s="105"/>
      <c r="E36" s="104"/>
      <c r="F36" s="106"/>
      <c r="G36" s="107"/>
      <c r="H36" s="105"/>
      <c r="I36" s="105"/>
      <c r="J36" s="105"/>
      <c r="K36" s="105"/>
      <c r="L36" s="105"/>
      <c r="M36" s="105"/>
      <c r="N36" s="105"/>
      <c r="O36" s="105"/>
      <c r="P36" s="105"/>
      <c r="Q36" s="105"/>
      <c r="R36" s="105"/>
      <c r="S36" s="105"/>
      <c r="T36" s="105"/>
      <c r="U36" s="105"/>
      <c r="V36" s="105"/>
      <c r="W36" s="105"/>
      <c r="X36" s="105"/>
      <c r="Y36" s="105"/>
      <c r="Z36" s="105"/>
      <c r="AA36" s="105"/>
      <c r="AB36" s="105"/>
      <c r="AC36" s="105"/>
      <c r="AD36" s="105"/>
      <c r="AE36" s="105"/>
      <c r="AF36" s="105"/>
      <c r="AG36" s="105"/>
      <c r="AH36" s="105"/>
      <c r="AI36" s="105"/>
      <c r="AJ36" s="105"/>
      <c r="AK36" s="105"/>
      <c r="AL36" s="97"/>
      <c r="AM36" s="60">
        <f t="shared" si="0"/>
        <v>0</v>
      </c>
      <c r="AN36" s="61">
        <f t="shared" si="1"/>
        <v>0</v>
      </c>
      <c r="AO36" s="61">
        <f t="shared" si="2"/>
        <v>0</v>
      </c>
      <c r="AP36" s="61"/>
      <c r="AQ36" s="61"/>
      <c r="AR36" s="61"/>
      <c r="AS36" s="61" t="e">
        <f t="shared" si="3"/>
        <v>#VALUE!</v>
      </c>
      <c r="AT36" s="105"/>
      <c r="AU36" s="105"/>
      <c r="AV36" s="61" t="e">
        <f t="shared" si="17"/>
        <v>#VALUE!</v>
      </c>
      <c r="AW36" s="61" t="e">
        <f t="shared" si="4"/>
        <v>#VALUE!</v>
      </c>
      <c r="AX36" s="61" t="e">
        <f t="shared" si="5"/>
        <v>#VALUE!</v>
      </c>
      <c r="AY36" s="61" t="e">
        <f t="shared" si="6"/>
        <v>#VALUE!</v>
      </c>
      <c r="AZ36" s="61" t="e">
        <f t="shared" si="7"/>
        <v>#VALUE!</v>
      </c>
      <c r="BA36" s="61" t="e">
        <f t="shared" si="8"/>
        <v>#VALUE!</v>
      </c>
      <c r="BB36" s="61">
        <f t="shared" si="9"/>
        <v>0</v>
      </c>
      <c r="BC36" s="105"/>
      <c r="BD36" s="62" t="e">
        <f t="shared" si="10"/>
        <v>#VALUE!</v>
      </c>
      <c r="BE36" s="105"/>
      <c r="BF36" s="115" t="s">
        <v>62</v>
      </c>
    </row>
    <row r="48" spans="1:58">
      <c r="O48" s="11"/>
      <c r="P48" s="11"/>
      <c r="Q48" s="11"/>
      <c r="R48" s="11"/>
      <c r="S48" s="11"/>
      <c r="T48" s="11"/>
    </row>
    <row r="52" spans="15:17">
      <c r="O52" s="63"/>
    </row>
    <row r="53" spans="15:17">
      <c r="Q53" s="63"/>
    </row>
  </sheetData>
  <sheetProtection algorithmName="SHA-512" hashValue="SL07r5wasY/7/nAot2r+XyyOywDt45R8zGlayPihv/tZPXdAcTgobG8BMT2WgRNYueMQHuW4VZf2ePzf+nN9gA==" saltValue="E1dfM587tLJBKMYFWa0+Wg==" spinCount="100000" sheet="1" insertRows="0" autoFilter="0"/>
  <autoFilter ref="A5:BF5" xr:uid="{4DC4EC1F-5A98-4CCF-A829-C0217C2F51B7}"/>
  <mergeCells count="2">
    <mergeCell ref="A2:B2"/>
    <mergeCell ref="G2:AL2"/>
  </mergeCells>
  <conditionalFormatting sqref="G5:AL5">
    <cfRule type="containsText" dxfId="62" priority="8" operator="containsText" text="RH">
      <formula>NOT(ISERROR(SEARCH("RH",G5)))</formula>
    </cfRule>
  </conditionalFormatting>
  <conditionalFormatting sqref="G6:AL6">
    <cfRule type="expression" dxfId="61" priority="7">
      <formula>$G$4:$AL$4=""</formula>
    </cfRule>
  </conditionalFormatting>
  <conditionalFormatting sqref="G4:AL4">
    <cfRule type="expression" dxfId="60" priority="6">
      <formula>$G$4:$AL$4&gt;"$D$2"</formula>
    </cfRule>
  </conditionalFormatting>
  <conditionalFormatting sqref="AI4">
    <cfRule type="expression" dxfId="59" priority="5">
      <formula>$AI$4&gt;$D$2</formula>
    </cfRule>
  </conditionalFormatting>
  <conditionalFormatting sqref="AJ4">
    <cfRule type="expression" dxfId="58" priority="4">
      <formula>$AJ$4&gt;$D$2</formula>
    </cfRule>
  </conditionalFormatting>
  <conditionalFormatting sqref="AK4">
    <cfRule type="expression" dxfId="57" priority="3">
      <formula>$AK$4&gt;$D$2</formula>
    </cfRule>
  </conditionalFormatting>
  <conditionalFormatting sqref="AL4">
    <cfRule type="expression" dxfId="56" priority="2">
      <formula>$AL$4&gt;$D$2</formula>
    </cfRule>
  </conditionalFormatting>
  <conditionalFormatting sqref="G7:AL36">
    <cfRule type="expression" dxfId="55" priority="1">
      <formula>$G$4:$AL$4=""</formula>
    </cfRule>
  </conditionalFormatting>
  <dataValidations count="2">
    <dataValidation type="list" allowBlank="1" showInputMessage="1" showErrorMessage="1" sqref="C2" xr:uid="{9B73164D-94A3-4B32-B7F0-97CCB43B86EC}">
      <formula1>CN_Date</formula1>
    </dataValidation>
    <dataValidation type="list" allowBlank="1" showInputMessage="1" showErrorMessage="1" sqref="G6:AL36" xr:uid="{2A0506CB-C005-4253-A51A-5EE20FB6EB80}">
      <formula1>Prod_BCSC</formula1>
    </dataValidation>
  </dataValidations>
  <pageMargins left="0.7" right="0.7" top="0.75" bottom="0.75" header="0.3" footer="0.3"/>
  <pageSetup paperSize="9" orientation="portrait" horizontalDpi="1200" verticalDpi="1200" r:id="rId1"/>
  <headerFooter>
    <oddFooter>&amp;C&amp;1#&amp;"Arial"&amp;10&amp;K000000Internal</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9CE74-3192-4E27-A9B5-0CB40C6E0D19}">
  <sheetPr codeName="Sheet14"/>
  <dimension ref="A1:BF53"/>
  <sheetViews>
    <sheetView zoomScale="80" zoomScaleNormal="80" workbookViewId="0">
      <pane xSplit="6" ySplit="5" topLeftCell="G6" activePane="bottomRight" state="frozen"/>
      <selection pane="topRight" activeCell="F28" sqref="F28:AC28"/>
      <selection pane="bottomLeft" activeCell="F28" sqref="F28:AC28"/>
      <selection pane="bottomRight" activeCell="D12" sqref="D12"/>
    </sheetView>
  </sheetViews>
  <sheetFormatPr defaultColWidth="9.109375" defaultRowHeight="14.4"/>
  <cols>
    <col min="1" max="1" width="7.109375" style="8" customWidth="1"/>
    <col min="2" max="2" width="15.44140625" style="8" customWidth="1"/>
    <col min="3" max="4" width="15.44140625" style="8" bestFit="1" customWidth="1"/>
    <col min="5" max="6" width="11.5546875" style="8" customWidth="1"/>
    <col min="7" max="38" width="8.5546875" style="8" customWidth="1"/>
    <col min="39" max="41" width="9.109375" style="8"/>
    <col min="42" max="44" width="9.109375" style="8" hidden="1" customWidth="1"/>
    <col min="45" max="45" width="9.109375" style="8"/>
    <col min="46" max="47" width="26.88671875" style="8" customWidth="1"/>
    <col min="48" max="55" width="13.5546875" style="8" customWidth="1"/>
    <col min="56" max="56" width="18.5546875" style="8" bestFit="1" customWidth="1"/>
    <col min="57" max="57" width="9.109375" style="8"/>
    <col min="58" max="58" width="16.5546875" style="8" bestFit="1" customWidth="1"/>
    <col min="59" max="16384" width="9.109375" style="8"/>
  </cols>
  <sheetData>
    <row r="1" spans="1:58" ht="18.600000000000001" thickBot="1">
      <c r="A1" s="83" t="s">
        <v>63</v>
      </c>
    </row>
    <row r="2" spans="1:58" ht="47.25" customHeight="1" thickBot="1">
      <c r="A2" s="198" t="s">
        <v>64</v>
      </c>
      <c r="B2" s="199"/>
      <c r="C2" s="102">
        <v>45292</v>
      </c>
      <c r="D2" s="33">
        <f>EOMONTH(C2,0)</f>
        <v>45322</v>
      </c>
      <c r="G2" s="210" t="s">
        <v>160</v>
      </c>
      <c r="H2" s="211"/>
      <c r="I2" s="211"/>
      <c r="J2" s="211"/>
      <c r="K2" s="211"/>
      <c r="L2" s="211"/>
      <c r="M2" s="211"/>
      <c r="N2" s="211"/>
      <c r="O2" s="211"/>
      <c r="P2" s="211"/>
      <c r="Q2" s="211"/>
      <c r="R2" s="211"/>
      <c r="S2" s="211"/>
      <c r="T2" s="211"/>
      <c r="U2" s="211"/>
      <c r="V2" s="211"/>
      <c r="W2" s="211"/>
      <c r="X2" s="211"/>
      <c r="Y2" s="211"/>
      <c r="Z2" s="211"/>
      <c r="AA2" s="211"/>
      <c r="AB2" s="211"/>
      <c r="AC2" s="211"/>
      <c r="AD2" s="211"/>
      <c r="AE2" s="211"/>
      <c r="AF2" s="211"/>
      <c r="AG2" s="211"/>
      <c r="AH2" s="211"/>
      <c r="AI2" s="211"/>
      <c r="AJ2" s="211"/>
      <c r="AK2" s="211"/>
      <c r="AL2" s="212"/>
    </row>
    <row r="3" spans="1:58" ht="15" thickBot="1">
      <c r="F3" s="10"/>
      <c r="G3" s="34" t="s">
        <v>88</v>
      </c>
      <c r="H3" s="10"/>
      <c r="I3" s="10"/>
      <c r="J3" s="10"/>
      <c r="K3" s="10"/>
      <c r="L3" s="10"/>
      <c r="M3" s="10"/>
      <c r="N3" s="10"/>
      <c r="O3" s="10"/>
      <c r="P3" s="10"/>
      <c r="Q3" s="10"/>
      <c r="R3" s="10"/>
      <c r="S3" s="10"/>
      <c r="T3" s="10"/>
      <c r="U3" s="10"/>
      <c r="V3" s="10"/>
      <c r="W3" s="10"/>
      <c r="X3" s="10"/>
      <c r="Y3" s="10"/>
      <c r="Z3" s="10"/>
      <c r="AA3" s="10"/>
      <c r="AB3" s="10"/>
      <c r="AC3" s="10"/>
      <c r="AD3" s="10"/>
      <c r="AE3" s="10"/>
      <c r="AF3" s="10"/>
      <c r="AG3" s="10"/>
      <c r="AH3" s="10"/>
    </row>
    <row r="4" spans="1:58" ht="85.5" customHeight="1">
      <c r="A4" s="35" t="s">
        <v>67</v>
      </c>
      <c r="B4" s="36" t="s">
        <v>68</v>
      </c>
      <c r="C4" s="13" t="s">
        <v>69</v>
      </c>
      <c r="D4" s="13" t="s">
        <v>94</v>
      </c>
      <c r="E4" s="13" t="s">
        <v>71</v>
      </c>
      <c r="F4" s="37" t="s">
        <v>72</v>
      </c>
      <c r="G4" s="38">
        <f>IF($C$2+0&gt;$D$2+1,"",$C$2+0)</f>
        <v>45292</v>
      </c>
      <c r="H4" s="39">
        <f>IF($C$2+1&gt;$D$2+1,"",$C$2+1)</f>
        <v>45293</v>
      </c>
      <c r="I4" s="39">
        <f>IF($C$2+2&gt;$D$2+1,"",$C$2+2)</f>
        <v>45294</v>
      </c>
      <c r="J4" s="39">
        <f>IF($C$2+3&gt;$D$2+1,"",$C$2+3)</f>
        <v>45295</v>
      </c>
      <c r="K4" s="39">
        <f>IF($C$2+4&gt;$D$2+1,"",$C$2+4)</f>
        <v>45296</v>
      </c>
      <c r="L4" s="39">
        <f>IF($C$2+5&gt;$D$2+1,"",$C$2+5)</f>
        <v>45297</v>
      </c>
      <c r="M4" s="39">
        <f>IF($C$2+6&gt;$D$2+1,"",$C$2+6)</f>
        <v>45298</v>
      </c>
      <c r="N4" s="39">
        <f>IF($C$2+7&gt;$D$2+1,"",$C$2+7)</f>
        <v>45299</v>
      </c>
      <c r="O4" s="39">
        <f>IF($C$2+8&gt;$D$2+1,"",$C$2+8)</f>
        <v>45300</v>
      </c>
      <c r="P4" s="39">
        <f>IF($C$2+9&gt;$D$2+1,"",$C$2+9)</f>
        <v>45301</v>
      </c>
      <c r="Q4" s="39">
        <f>IF($C$2+10&gt;$D$2+1,"",$C$2+10)</f>
        <v>45302</v>
      </c>
      <c r="R4" s="39">
        <f>IF($C$2+11&gt;$D$2+1,"",$C$2+11)</f>
        <v>45303</v>
      </c>
      <c r="S4" s="39">
        <f>IF($C$2+12&gt;$D$2+1,"",$C$2+12)</f>
        <v>45304</v>
      </c>
      <c r="T4" s="39">
        <f>IF($C$2+13&gt;$D$2+1,"",$C$2+13)</f>
        <v>45305</v>
      </c>
      <c r="U4" s="39">
        <f>IF($C$2+14&gt;$D$2+1,"",$C$2+14)</f>
        <v>45306</v>
      </c>
      <c r="V4" s="39">
        <f>IF($C$2+15&gt;$D$2+1,"",$C$2+15)</f>
        <v>45307</v>
      </c>
      <c r="W4" s="39">
        <f>IF($C$2+16&gt;$D$2+1,"",$C$2+16)</f>
        <v>45308</v>
      </c>
      <c r="X4" s="39">
        <f>IF($C$2+17&gt;$D$2+1,"",$C$2+17)</f>
        <v>45309</v>
      </c>
      <c r="Y4" s="39">
        <f>IF($C$2+18&gt;$D$2+1,"",$C$2+18)</f>
        <v>45310</v>
      </c>
      <c r="Z4" s="39">
        <f>IF($C$2+19&gt;$D$2+1,"",$C$2+19)</f>
        <v>45311</v>
      </c>
      <c r="AA4" s="39">
        <f>IF($C$2+20&gt;$D$2+1,"",$C$2+20)</f>
        <v>45312</v>
      </c>
      <c r="AB4" s="39">
        <f>IF($C$2+21&gt;$D$2+1,"",$C$2+21)</f>
        <v>45313</v>
      </c>
      <c r="AC4" s="39">
        <f>IF($C$2+22&gt;$D$2+1,"",$C$2+22)</f>
        <v>45314</v>
      </c>
      <c r="AD4" s="39">
        <f>IF($C$2+23&gt;$D$2+1,"",$C$2+23)</f>
        <v>45315</v>
      </c>
      <c r="AE4" s="39">
        <f>IF($C$2+24&gt;$D$2+1,"",$C$2+24)</f>
        <v>45316</v>
      </c>
      <c r="AF4" s="39">
        <f>IF($C$2+25&gt;$D$2+1,"",$C$2+25)</f>
        <v>45317</v>
      </c>
      <c r="AG4" s="39">
        <f>IF($C$2+26&gt;$D$2+1,"",$C$2+26)</f>
        <v>45318</v>
      </c>
      <c r="AH4" s="39">
        <f>IF($C$2+27&gt;$D$2+1,"",$C$2+27)</f>
        <v>45319</v>
      </c>
      <c r="AI4" s="39">
        <f>IF($C$2+28&gt;$D$2+1,"",$C$2+28)</f>
        <v>45320</v>
      </c>
      <c r="AJ4" s="39">
        <f>IF($C$2+29&gt;$D$2+1,"",$C$2+29)</f>
        <v>45321</v>
      </c>
      <c r="AK4" s="39">
        <f>IF($C$2+30&gt;$D$2+1,"",$C$2+30)</f>
        <v>45322</v>
      </c>
      <c r="AL4" s="40">
        <f>IF($C$2+31&gt;$D$2+1,"",$C$2+31)</f>
        <v>45323</v>
      </c>
      <c r="AM4" s="12" t="s">
        <v>115</v>
      </c>
      <c r="AN4" s="13" t="s">
        <v>96</v>
      </c>
      <c r="AO4" s="13" t="s">
        <v>116</v>
      </c>
      <c r="AP4" s="13"/>
      <c r="AQ4" s="13"/>
      <c r="AR4" s="13"/>
      <c r="AS4" s="13" t="s">
        <v>98</v>
      </c>
      <c r="AT4" s="13" t="s">
        <v>99</v>
      </c>
      <c r="AU4" s="13" t="s">
        <v>100</v>
      </c>
      <c r="AV4" s="13" t="s">
        <v>101</v>
      </c>
      <c r="AW4" s="13" t="s">
        <v>102</v>
      </c>
      <c r="AX4" s="13" t="s">
        <v>103</v>
      </c>
      <c r="AY4" s="13" t="s">
        <v>104</v>
      </c>
      <c r="AZ4" s="13" t="s">
        <v>105</v>
      </c>
      <c r="BA4" s="13" t="s">
        <v>106</v>
      </c>
      <c r="BB4" s="13" t="s">
        <v>107</v>
      </c>
      <c r="BC4" s="13" t="s">
        <v>75</v>
      </c>
      <c r="BD4" s="13" t="s">
        <v>78</v>
      </c>
      <c r="BE4" s="13" t="s">
        <v>108</v>
      </c>
      <c r="BF4" s="37" t="s">
        <v>109</v>
      </c>
    </row>
    <row r="5" spans="1:58" ht="15" thickBot="1">
      <c r="A5" s="41"/>
      <c r="B5" s="42"/>
      <c r="C5" s="43"/>
      <c r="D5" s="43"/>
      <c r="E5" s="43"/>
      <c r="F5" s="44"/>
      <c r="G5" s="45" t="str">
        <f>IFERROR(HLOOKUP(G4,Reference!1:2,2,0),"")</f>
        <v>PH</v>
      </c>
      <c r="H5" s="46" t="str">
        <f>IFERROR(HLOOKUP(H4,Reference!1:2,2,0),"")</f>
        <v/>
      </c>
      <c r="I5" s="46" t="str">
        <f>IFERROR(HLOOKUP(I4,Reference!1:2,2,0),"")</f>
        <v/>
      </c>
      <c r="J5" s="46" t="str">
        <f>IFERROR(HLOOKUP(J4,Reference!1:2,2,0),"")</f>
        <v/>
      </c>
      <c r="K5" s="46" t="str">
        <f>IFERROR(HLOOKUP(K4,Reference!1:2,2,0),"")</f>
        <v/>
      </c>
      <c r="L5" s="46" t="str">
        <f>IFERROR(HLOOKUP(L4,Reference!1:2,2,0),"")</f>
        <v/>
      </c>
      <c r="M5" s="46" t="str">
        <f>IFERROR(HLOOKUP(M4,Reference!1:2,2,0),"")</f>
        <v/>
      </c>
      <c r="N5" s="46" t="str">
        <f>IFERROR(HLOOKUP(N4,Reference!1:2,2,0),"")</f>
        <v/>
      </c>
      <c r="O5" s="46" t="str">
        <f>IFERROR(HLOOKUP(O4,Reference!1:2,2,0),"")</f>
        <v/>
      </c>
      <c r="P5" s="46" t="str">
        <f>IFERROR(HLOOKUP(P4,Reference!1:2,2,0),"")</f>
        <v/>
      </c>
      <c r="Q5" s="46" t="str">
        <f>IFERROR(HLOOKUP(Q4,Reference!1:2,2,0),"")</f>
        <v/>
      </c>
      <c r="R5" s="46" t="str">
        <f>IFERROR(HLOOKUP(R4,Reference!1:2,2,0),"")</f>
        <v/>
      </c>
      <c r="S5" s="46" t="str">
        <f>IFERROR(HLOOKUP(S4,Reference!1:2,2,0),"")</f>
        <v/>
      </c>
      <c r="T5" s="46" t="str">
        <f>IFERROR(HLOOKUP(T4,Reference!1:2,2,0),"")</f>
        <v/>
      </c>
      <c r="U5" s="46" t="str">
        <f>IFERROR(HLOOKUP(U4,Reference!1:2,2,0),"")</f>
        <v/>
      </c>
      <c r="V5" s="46" t="str">
        <f>IFERROR(HLOOKUP(V4,Reference!1:2,2,0),"")</f>
        <v/>
      </c>
      <c r="W5" s="46" t="str">
        <f>IFERROR(HLOOKUP(W4,Reference!1:2,2,0),"")</f>
        <v/>
      </c>
      <c r="X5" s="46" t="str">
        <f>IFERROR(HLOOKUP(X4,Reference!1:2,2,0),"")</f>
        <v/>
      </c>
      <c r="Y5" s="46" t="str">
        <f>IFERROR(HLOOKUP(Y4,Reference!1:2,2,0),"")</f>
        <v/>
      </c>
      <c r="Z5" s="46" t="str">
        <f>IFERROR(HLOOKUP(Z4,Reference!1:2,2,0),"")</f>
        <v/>
      </c>
      <c r="AA5" s="46" t="str">
        <f>IFERROR(HLOOKUP(AA4,Reference!1:2,2,0),"")</f>
        <v/>
      </c>
      <c r="AB5" s="46" t="str">
        <f>IFERROR(HLOOKUP(AB4,Reference!1:2,2,0),"")</f>
        <v/>
      </c>
      <c r="AC5" s="46" t="str">
        <f>IFERROR(HLOOKUP(AC4,Reference!1:2,2,0),"")</f>
        <v/>
      </c>
      <c r="AD5" s="46" t="str">
        <f>IFERROR(HLOOKUP(AD4,Reference!1:2,2,0),"")</f>
        <v/>
      </c>
      <c r="AE5" s="46" t="str">
        <f>IFERROR(HLOOKUP(AE4,Reference!1:2,2,0),"")</f>
        <v/>
      </c>
      <c r="AF5" s="46" t="str">
        <f>IFERROR(HLOOKUP(AF4,Reference!1:2,2,0),"")</f>
        <v/>
      </c>
      <c r="AG5" s="46" t="str">
        <f>IFERROR(HLOOKUP(AG4,Reference!1:2,2,0),"")</f>
        <v/>
      </c>
      <c r="AH5" s="46" t="str">
        <f>IFERROR(HLOOKUP(AH4,Reference!1:2,2,0),"")</f>
        <v/>
      </c>
      <c r="AI5" s="46" t="str">
        <f>IFERROR(HLOOKUP(AI4,Reference!1:2,2,0),"")</f>
        <v/>
      </c>
      <c r="AJ5" s="46" t="str">
        <f>IFERROR(HLOOKUP(AJ4,Reference!1:2,2,0),"")</f>
        <v/>
      </c>
      <c r="AK5" s="46" t="str">
        <f>IFERROR(HLOOKUP(AK4,Reference!1:2,2,0),"")</f>
        <v/>
      </c>
      <c r="AL5" s="47" t="str">
        <f>IFERROR(HLOOKUP(AL4,Reference!1:2,2,0),"")</f>
        <v/>
      </c>
      <c r="AM5" s="48"/>
      <c r="AN5" s="43"/>
      <c r="AO5" s="43"/>
      <c r="AP5" s="43"/>
      <c r="AQ5" s="43"/>
      <c r="AR5" s="43"/>
      <c r="AS5" s="43"/>
      <c r="AT5" s="43"/>
      <c r="AU5" s="43"/>
      <c r="AV5" s="43"/>
      <c r="AW5" s="43"/>
      <c r="AX5" s="43"/>
      <c r="AY5" s="43"/>
      <c r="AZ5" s="43"/>
      <c r="BA5" s="43"/>
      <c r="BB5" s="43"/>
      <c r="BC5" s="43"/>
      <c r="BD5" s="49"/>
      <c r="BE5" s="43"/>
      <c r="BF5" s="44"/>
    </row>
    <row r="6" spans="1:58">
      <c r="A6" s="50">
        <v>0</v>
      </c>
      <c r="B6" s="51">
        <v>12345</v>
      </c>
      <c r="C6" s="110" t="s">
        <v>89</v>
      </c>
      <c r="D6" s="52">
        <v>105</v>
      </c>
      <c r="E6" s="110"/>
      <c r="F6" s="53"/>
      <c r="G6" s="54" t="s">
        <v>117</v>
      </c>
      <c r="H6" s="52" t="s">
        <v>117</v>
      </c>
      <c r="I6" s="52"/>
      <c r="J6" s="52" t="s">
        <v>118</v>
      </c>
      <c r="K6" s="52" t="s">
        <v>119</v>
      </c>
      <c r="L6" s="52" t="s">
        <v>117</v>
      </c>
      <c r="M6" s="52"/>
      <c r="N6" s="52"/>
      <c r="O6" s="52" t="s">
        <v>117</v>
      </c>
      <c r="P6" s="52" t="s">
        <v>117</v>
      </c>
      <c r="Q6" s="52"/>
      <c r="R6" s="52"/>
      <c r="S6" s="52" t="s">
        <v>117</v>
      </c>
      <c r="T6" s="52" t="s">
        <v>117</v>
      </c>
      <c r="U6" s="52"/>
      <c r="V6" s="52"/>
      <c r="W6" s="52" t="s">
        <v>117</v>
      </c>
      <c r="X6" s="52" t="s">
        <v>117</v>
      </c>
      <c r="Y6" s="52" t="s">
        <v>117</v>
      </c>
      <c r="Z6" s="52"/>
      <c r="AA6" s="52" t="s">
        <v>117</v>
      </c>
      <c r="AB6" s="52" t="s">
        <v>117</v>
      </c>
      <c r="AC6" s="52"/>
      <c r="AD6" s="52" t="s">
        <v>118</v>
      </c>
      <c r="AE6" s="52" t="s">
        <v>118</v>
      </c>
      <c r="AF6" s="52" t="s">
        <v>118</v>
      </c>
      <c r="AG6" s="52"/>
      <c r="AH6" s="52"/>
      <c r="AI6" s="52" t="s">
        <v>117</v>
      </c>
      <c r="AJ6" s="52" t="s">
        <v>117</v>
      </c>
      <c r="AK6" s="52"/>
      <c r="AL6" s="55"/>
      <c r="AM6" s="60">
        <f t="shared" ref="AM6" si="0">COUNTIFS(G6:AK6,"早12",$G$4:$AK$4,"&lt;="&amp;$D$2)*12</f>
        <v>48</v>
      </c>
      <c r="AN6" s="61">
        <f t="shared" ref="AN6" si="1">COUNTIFS(G6:AK6,"夜12",$G$4:$AK$4,"&lt;="&amp;$D$2)*12</f>
        <v>168</v>
      </c>
      <c r="AO6" s="61">
        <f t="shared" ref="AO6" si="2">COUNTIFS(G6:AK6,"日8",$G$4:$AK$4,"&lt;="&amp;$D$2)*8</f>
        <v>8</v>
      </c>
      <c r="AP6" s="61"/>
      <c r="AQ6" s="61"/>
      <c r="AR6" s="61"/>
      <c r="AS6" s="61">
        <f t="shared" ref="AS6" si="3">COUNTIFS(G6:AK6,"早12",$G$4:$AK$4,"&lt;="&amp;$D$2,$G$5:$AK$5,"PH")*12+COUNTIFS(G6:AK6,"日8",$G$4:$AK$4,"&lt;="&amp;$D$2,$G$5:$AK$5,"PH")*8+COUNTIFS(G6:AK6,"夜12",$G$4:$AK$4,"&lt;="&amp;$D$2,$G$5:$AK$5,"PH")*4+
IF(AND(G6="夜12",$H$5="PH",$G$4&lt;=$D$2),8,0)+IF(AND(H6="夜12",$I$5="PH",$H$4&lt;=$D$2),8,0)+IF(AND(I6="夜12",$J$5="PH",$I$4&lt;=$D$2),8,0)+IF(AND(J6="夜12",$K$5="PH",$J$4&lt;=$D$2),8,0)+IF(AND(K6="夜12",$L$5="PH",$K$4&lt;=$D$2),8,0)+IF(AND(L6="夜12",$M$5="PH",$L$4&lt;=$D$2),8,0)+IF(AND(M6="夜12",$N$5="PH",$M$4&lt;=$D$2),8,0)+IF(AND(N6="夜12",$O$5="PH",$N$4&lt;=$D$2),8,0)+IF(AND(O6="夜12",$P$5="PH",$O$4&lt;=$D$2),8,0)+IF(AND(P6="夜12",$Q$5="PH",$P$4&lt;=$D$2),8,0)+IF(AND(Q6="夜12",$R$5="PH",$Q$4&lt;=$D$2),8,0)+IF(AND(R6="夜12",$S$5="PH",$R$4&lt;=$D$2),8,0)+IF(AND(S6="夜12",$T$5="PH",$S$4&lt;=$D$2),8,0)+IF(AND(T6="夜12",$U$5="PH",$T$4&lt;=$D$2),8,0)+IF(AND(U6="夜12",$V$5="PH",$U$4&lt;=$D$2),8,0)+IF(AND(V6="夜12",$W$5="PH",$V$4&lt;=$D$2),8,0)+IF(AND(W6="夜12",$X$5="PH",$W$4&lt;=$D$2),8,0)+IF(AND(X6="夜12",$Y$5="PH",$X$4&lt;=$D$2),8,0)+IF(AND(Y6="夜12",$Z$5="PH",$Y$4&lt;=$D$2),8,0)+IF(AND(Z6="夜12",$AA$5="PH",$Z$4&lt;=$D$2),8,0)+IF(AND(AA6="夜12",$AB$5="PH",$AA$4&lt;=$D$2),8,0)+IF(AND(AB6="夜12",$AC$5="PH",$AB$4&lt;=$D$2),8,0)+IF(AND(AC6="夜12",$AD$5="PH",$AC$4&lt;=$D$2),8,0)+IF(AND(AD6="夜12",$AE$5="PH",$AD$4&lt;=$D$2),8,0)+IF(AND(AE6="夜12",$AF$5="PH",$AE$4&lt;=$D$2),8,0)+IF(AND(AF6="夜12",$AG$5="PH",$AF$4&lt;=$D$2),8,0)+IF(AND(AG6="夜12",$AH$5="PH",$AG$4&lt;=$D$2),8,0)+IF(AND(AH6="夜12",$AI$5="PH",$AH$4&lt;=$D$2),8,0)+IF(AND(AI6="夜12",$AJ$5="PH",$AI$4&lt;=$D$2),8,0)+IF(AND(AJ6="夜12",$AK$5="PH",$AJ$4&lt;=$D$2),8,0)+IF(AND(AK6="夜12",$AL$5="PH",$AK$4&lt;=$D$2),8,0)</f>
        <v>4</v>
      </c>
      <c r="AT6" s="52"/>
      <c r="AU6" s="52"/>
      <c r="AV6" s="57">
        <f>SUM(AM6:AO6)-AS6+AT6</f>
        <v>220</v>
      </c>
      <c r="AW6" s="57">
        <f t="shared" ref="AW6:AW36" si="4">AV6/8</f>
        <v>27.5</v>
      </c>
      <c r="AX6" s="57">
        <f t="shared" ref="AX6:AX36" si="5">NETWORKDAYS($C$2,$D$2)</f>
        <v>23</v>
      </c>
      <c r="AY6" s="57">
        <f t="shared" ref="AY6:AY36" si="6">ROUND(IF(AW6&gt;=AX6,AX6,AW6)*D6,2)</f>
        <v>2415</v>
      </c>
      <c r="AZ6" s="57">
        <f t="shared" ref="AZ6:AZ36" si="7">ROUND(IF((AW6-AX6)*1.5*D6&lt;0,0,(AW6-AX6)*1.5*D6),2)</f>
        <v>708.75</v>
      </c>
      <c r="BA6" s="57">
        <f t="shared" ref="BA6:BA36" si="8">ROUND(D6/8*(AS6+AU6)*3,2)</f>
        <v>157.5</v>
      </c>
      <c r="BB6" s="101">
        <f>COUNTIFS(G6:AK6,"早12",$G$4:$AK$4,"&lt;="&amp;$D$2)*50+COUNTIFS(G6:AK6,"夜12",$G$4:$AK$4,"&lt;="&amp;$D$2)*50</f>
        <v>900</v>
      </c>
      <c r="BC6" s="52">
        <v>500</v>
      </c>
      <c r="BD6" s="58">
        <f t="shared" ref="BD6:BD36" si="9">SUM(AY6:BC6)</f>
        <v>4681.25</v>
      </c>
      <c r="BE6" s="52"/>
      <c r="BF6" s="116" t="s">
        <v>159</v>
      </c>
    </row>
    <row r="7" spans="1:58">
      <c r="A7" s="59">
        <v>1</v>
      </c>
      <c r="B7" s="103"/>
      <c r="C7" s="104"/>
      <c r="D7" s="105"/>
      <c r="E7" s="104"/>
      <c r="F7" s="106"/>
      <c r="G7" s="108"/>
      <c r="H7" s="105"/>
      <c r="I7" s="105"/>
      <c r="J7" s="105"/>
      <c r="K7" s="105"/>
      <c r="L7" s="105"/>
      <c r="M7" s="105"/>
      <c r="N7" s="105"/>
      <c r="O7" s="105"/>
      <c r="P7" s="105"/>
      <c r="Q7" s="105"/>
      <c r="R7" s="105"/>
      <c r="S7" s="105"/>
      <c r="T7" s="105"/>
      <c r="U7" s="105"/>
      <c r="V7" s="105"/>
      <c r="W7" s="105"/>
      <c r="X7" s="105"/>
      <c r="Y7" s="105"/>
      <c r="Z7" s="105"/>
      <c r="AA7" s="105"/>
      <c r="AB7" s="105"/>
      <c r="AC7" s="105"/>
      <c r="AD7" s="105"/>
      <c r="AE7" s="105"/>
      <c r="AF7" s="105"/>
      <c r="AG7" s="105"/>
      <c r="AH7" s="105"/>
      <c r="AI7" s="105"/>
      <c r="AJ7" s="105"/>
      <c r="AK7" s="105"/>
      <c r="AL7" s="97"/>
      <c r="AM7" s="60">
        <f>COUNTIFS(G7:AK7,"早12",$G$4:$AK$4,"&lt;="&amp;$D$2)*12</f>
        <v>0</v>
      </c>
      <c r="AN7" s="61">
        <f>COUNTIFS(G7:AK7,"夜12",$G$4:$AK$4,"&lt;="&amp;$D$2)*12</f>
        <v>0</v>
      </c>
      <c r="AO7" s="61">
        <f>COUNTIFS(G7:AK7,"日8",$G$4:$AK$4,"&lt;="&amp;$D$2)*8</f>
        <v>0</v>
      </c>
      <c r="AP7" s="61"/>
      <c r="AQ7" s="61"/>
      <c r="AR7" s="61"/>
      <c r="AS7" s="61">
        <f>COUNTIFS(G7:AK7,"早12",$G$4:$AK$4,"&lt;="&amp;$D$2,$G$5:$AK$5,"PH")*12+COUNTIFS(G7:AK7,"日8",$G$4:$AK$4,"&lt;="&amp;$D$2,$G$5:$AK$5,"PH")*8+COUNTIFS(G7:AK7,"夜12",$G$4:$AK$4,"&lt;="&amp;$D$2,$G$5:$AK$5,"PH")*4+
IF(AND(G7="夜12",$H$5="PH",$G$4&lt;=$D$2),8,0)+IF(AND(H7="夜12",$I$5="PH",$H$4&lt;=$D$2),8,0)+IF(AND(I7="夜12",$J$5="PH",$I$4&lt;=$D$2),8,0)+IF(AND(J7="夜12",$K$5="PH",$J$4&lt;=$D$2),8,0)+IF(AND(K7="夜12",$L$5="PH",$K$4&lt;=$D$2),8,0)+IF(AND(L7="夜12",$M$5="PH",$L$4&lt;=$D$2),8,0)+IF(AND(M7="夜12",$N$5="PH",$M$4&lt;=$D$2),8,0)+IF(AND(N7="夜12",$O$5="PH",$N$4&lt;=$D$2),8,0)+IF(AND(O7="夜12",$P$5="PH",$O$4&lt;=$D$2),8,0)+IF(AND(P7="夜12",$Q$5="PH",$P$4&lt;=$D$2),8,0)+IF(AND(Q7="夜12",$R$5="PH",$Q$4&lt;=$D$2),8,0)+IF(AND(R7="夜12",$S$5="PH",$R$4&lt;=$D$2),8,0)+IF(AND(S7="夜12",$T$5="PH",$S$4&lt;=$D$2),8,0)+IF(AND(T7="夜12",$U$5="PH",$T$4&lt;=$D$2),8,0)+IF(AND(U7="夜12",$V$5="PH",$U$4&lt;=$D$2),8,0)+IF(AND(V7="夜12",$W$5="PH",$V$4&lt;=$D$2),8,0)+IF(AND(W7="夜12",$X$5="PH",$W$4&lt;=$D$2),8,0)+IF(AND(X7="夜12",$Y$5="PH",$X$4&lt;=$D$2),8,0)+IF(AND(Y7="夜12",$Z$5="PH",$Y$4&lt;=$D$2),8,0)+IF(AND(Z7="夜12",$AA$5="PH",$Z$4&lt;=$D$2),8,0)+IF(AND(AA7="夜12",$AB$5="PH",$AA$4&lt;=$D$2),8,0)+IF(AND(AB7="夜12",$AC$5="PH",$AB$4&lt;=$D$2),8,0)+IF(AND(AC7="夜12",$AD$5="PH",$AC$4&lt;=$D$2),8,0)+IF(AND(AD7="夜12",$AE$5="PH",$AD$4&lt;=$D$2),8,0)+IF(AND(AE7="夜12",$AF$5="PH",$AE$4&lt;=$D$2),8,0)+IF(AND(AF7="夜12",$AG$5="PH",$AF$4&lt;=$D$2),8,0)+IF(AND(AG7="夜12",$AH$5="PH",$AG$4&lt;=$D$2),8,0)+IF(AND(AH7="夜12",$AI$5="PH",$AH$4&lt;=$D$2),8,0)+IF(AND(AI7="夜12",$AJ$5="PH",$AI$4&lt;=$D$2),8,0)+IF(AND(AJ7="夜12",$AK$5="PH",$AJ$4&lt;=$D$2),8,0)+IF(AND(AK7="夜12",$AL$5="PH",$AK$4&lt;=$D$2),8,0)</f>
        <v>0</v>
      </c>
      <c r="AT7" s="105"/>
      <c r="AU7" s="105"/>
      <c r="AV7" s="61">
        <f t="shared" ref="AV7:AV8" si="10">SUM(AM7:AO7)-AS7+AT7</f>
        <v>0</v>
      </c>
      <c r="AW7" s="61">
        <f t="shared" si="4"/>
        <v>0</v>
      </c>
      <c r="AX7" s="61">
        <f t="shared" si="5"/>
        <v>23</v>
      </c>
      <c r="AY7" s="61">
        <f t="shared" si="6"/>
        <v>0</v>
      </c>
      <c r="AZ7" s="61">
        <f t="shared" si="7"/>
        <v>0</v>
      </c>
      <c r="BA7" s="61">
        <f t="shared" si="8"/>
        <v>0</v>
      </c>
      <c r="BB7" s="61">
        <f t="shared" ref="BB7:BB36" si="11">COUNTIFS(G7:AK7,"早12",$G$4:$AK$4,"&lt;="&amp;$D$2)*50+COUNTIFS(G7:AK7,"夜12",$G$4:$AK$4,"&lt;="&amp;$D$2)*50</f>
        <v>0</v>
      </c>
      <c r="BC7" s="105"/>
      <c r="BD7" s="62">
        <f t="shared" si="9"/>
        <v>0</v>
      </c>
      <c r="BE7" s="105"/>
      <c r="BF7" s="117" t="s">
        <v>159</v>
      </c>
    </row>
    <row r="8" spans="1:58">
      <c r="A8" s="59">
        <v>2</v>
      </c>
      <c r="B8" s="103"/>
      <c r="C8" s="104"/>
      <c r="D8" s="105"/>
      <c r="E8" s="104"/>
      <c r="F8" s="106"/>
      <c r="G8" s="107"/>
      <c r="H8" s="105"/>
      <c r="I8" s="105"/>
      <c r="J8" s="105"/>
      <c r="K8" s="105"/>
      <c r="L8" s="105"/>
      <c r="M8" s="105"/>
      <c r="N8" s="105"/>
      <c r="O8" s="105"/>
      <c r="P8" s="105"/>
      <c r="Q8" s="105"/>
      <c r="R8" s="105"/>
      <c r="S8" s="105"/>
      <c r="T8" s="105"/>
      <c r="U8" s="105"/>
      <c r="V8" s="105"/>
      <c r="W8" s="105"/>
      <c r="X8" s="105"/>
      <c r="Y8" s="105"/>
      <c r="Z8" s="105"/>
      <c r="AA8" s="105"/>
      <c r="AB8" s="105"/>
      <c r="AC8" s="105"/>
      <c r="AD8" s="105"/>
      <c r="AE8" s="105"/>
      <c r="AF8" s="105"/>
      <c r="AG8" s="105"/>
      <c r="AH8" s="105"/>
      <c r="AI8" s="105"/>
      <c r="AJ8" s="105"/>
      <c r="AK8" s="105"/>
      <c r="AL8" s="97"/>
      <c r="AM8" s="60">
        <f t="shared" ref="AM8:AM36" si="12">COUNTIFS(G8:AK8,"早12",$G$4:$AK$4,"&lt;="&amp;$D$2)*12</f>
        <v>0</v>
      </c>
      <c r="AN8" s="61">
        <f t="shared" ref="AN8:AN36" si="13">COUNTIFS(G8:AK8,"夜12",$G$4:$AK$4,"&lt;="&amp;$D$2)*12</f>
        <v>0</v>
      </c>
      <c r="AO8" s="61">
        <f t="shared" ref="AO8:AO36" si="14">COUNTIFS(G8:AK8,"日8",$G$4:$AK$4,"&lt;="&amp;$D$2)*8</f>
        <v>0</v>
      </c>
      <c r="AP8" s="61"/>
      <c r="AQ8" s="61"/>
      <c r="AR8" s="61"/>
      <c r="AS8" s="61">
        <f t="shared" ref="AS8:AS36" si="15">COUNTIFS(G8:AK8,"早12",$G$4:$AK$4,"&lt;="&amp;$D$2,$G$5:$AK$5,"PH")*12+COUNTIFS(G8:AK8,"日8",$G$4:$AK$4,"&lt;="&amp;$D$2,$G$5:$AK$5,"PH")*8+COUNTIFS(G8:AK8,"夜12",$G$4:$AK$4,"&lt;="&amp;$D$2,$G$5:$AK$5,"PH")*4+
IF(AND(G8="夜12",$H$5="PH",$G$4&lt;=$D$2),8,0)+IF(AND(H8="夜12",$I$5="PH",$H$4&lt;=$D$2),8,0)+IF(AND(I8="夜12",$J$5="PH",$I$4&lt;=$D$2),8,0)+IF(AND(J8="夜12",$K$5="PH",$J$4&lt;=$D$2),8,0)+IF(AND(K8="夜12",$L$5="PH",$K$4&lt;=$D$2),8,0)+IF(AND(L8="夜12",$M$5="PH",$L$4&lt;=$D$2),8,0)+IF(AND(M8="夜12",$N$5="PH",$M$4&lt;=$D$2),8,0)+IF(AND(N8="夜12",$O$5="PH",$N$4&lt;=$D$2),8,0)+IF(AND(O8="夜12",$P$5="PH",$O$4&lt;=$D$2),8,0)+IF(AND(P8="夜12",$Q$5="PH",$P$4&lt;=$D$2),8,0)+IF(AND(Q8="夜12",$R$5="PH",$Q$4&lt;=$D$2),8,0)+IF(AND(R8="夜12",$S$5="PH",$R$4&lt;=$D$2),8,0)+IF(AND(S8="夜12",$T$5="PH",$S$4&lt;=$D$2),8,0)+IF(AND(T8="夜12",$U$5="PH",$T$4&lt;=$D$2),8,0)+IF(AND(U8="夜12",$V$5="PH",$U$4&lt;=$D$2),8,0)+IF(AND(V8="夜12",$W$5="PH",$V$4&lt;=$D$2),8,0)+IF(AND(W8="夜12",$X$5="PH",$W$4&lt;=$D$2),8,0)+IF(AND(X8="夜12",$Y$5="PH",$X$4&lt;=$D$2),8,0)+IF(AND(Y8="夜12",$Z$5="PH",$Y$4&lt;=$D$2),8,0)+IF(AND(Z8="夜12",$AA$5="PH",$Z$4&lt;=$D$2),8,0)+IF(AND(AA8="夜12",$AB$5="PH",$AA$4&lt;=$D$2),8,0)+IF(AND(AB8="夜12",$AC$5="PH",$AB$4&lt;=$D$2),8,0)+IF(AND(AC8="夜12",$AD$5="PH",$AC$4&lt;=$D$2),8,0)+IF(AND(AD8="夜12",$AE$5="PH",$AD$4&lt;=$D$2),8,0)+IF(AND(AE8="夜12",$AF$5="PH",$AE$4&lt;=$D$2),8,0)+IF(AND(AF8="夜12",$AG$5="PH",$AF$4&lt;=$D$2),8,0)+IF(AND(AG8="夜12",$AH$5="PH",$AG$4&lt;=$D$2),8,0)+IF(AND(AH8="夜12",$AI$5="PH",$AH$4&lt;=$D$2),8,0)+IF(AND(AI8="夜12",$AJ$5="PH",$AI$4&lt;=$D$2),8,0)+IF(AND(AJ8="夜12",$AK$5="PH",$AJ$4&lt;=$D$2),8,0)+IF(AND(AK8="夜12",$AL$5="PH",$AK$4&lt;=$D$2),8,0)</f>
        <v>0</v>
      </c>
      <c r="AT8" s="105"/>
      <c r="AU8" s="105"/>
      <c r="AV8" s="61">
        <f t="shared" si="10"/>
        <v>0</v>
      </c>
      <c r="AW8" s="61">
        <f t="shared" si="4"/>
        <v>0</v>
      </c>
      <c r="AX8" s="61">
        <f t="shared" si="5"/>
        <v>23</v>
      </c>
      <c r="AY8" s="61">
        <f t="shared" si="6"/>
        <v>0</v>
      </c>
      <c r="AZ8" s="61">
        <f t="shared" si="7"/>
        <v>0</v>
      </c>
      <c r="BA8" s="61">
        <f t="shared" si="8"/>
        <v>0</v>
      </c>
      <c r="BB8" s="61">
        <f t="shared" si="11"/>
        <v>0</v>
      </c>
      <c r="BC8" s="105"/>
      <c r="BD8" s="62">
        <f t="shared" si="9"/>
        <v>0</v>
      </c>
      <c r="BE8" s="105"/>
      <c r="BF8" s="117" t="s">
        <v>159</v>
      </c>
    </row>
    <row r="9" spans="1:58">
      <c r="A9" s="59">
        <v>3</v>
      </c>
      <c r="B9" s="103"/>
      <c r="C9" s="104"/>
      <c r="D9" s="105"/>
      <c r="E9" s="104"/>
      <c r="F9" s="106"/>
      <c r="G9" s="107"/>
      <c r="H9" s="105"/>
      <c r="I9" s="105"/>
      <c r="J9" s="105"/>
      <c r="K9" s="105"/>
      <c r="L9" s="105"/>
      <c r="M9" s="105"/>
      <c r="N9" s="105"/>
      <c r="O9" s="105"/>
      <c r="P9" s="105"/>
      <c r="Q9" s="105"/>
      <c r="R9" s="105"/>
      <c r="S9" s="105"/>
      <c r="T9" s="105"/>
      <c r="U9" s="105"/>
      <c r="V9" s="105"/>
      <c r="W9" s="105"/>
      <c r="X9" s="105"/>
      <c r="Y9" s="105"/>
      <c r="Z9" s="105"/>
      <c r="AA9" s="105"/>
      <c r="AB9" s="105"/>
      <c r="AC9" s="105"/>
      <c r="AD9" s="105"/>
      <c r="AE9" s="105"/>
      <c r="AF9" s="105"/>
      <c r="AG9" s="105"/>
      <c r="AH9" s="105"/>
      <c r="AI9" s="105"/>
      <c r="AJ9" s="105"/>
      <c r="AK9" s="105"/>
      <c r="AL9" s="97"/>
      <c r="AM9" s="60">
        <f t="shared" si="12"/>
        <v>0</v>
      </c>
      <c r="AN9" s="61">
        <f t="shared" si="13"/>
        <v>0</v>
      </c>
      <c r="AO9" s="61">
        <f t="shared" si="14"/>
        <v>0</v>
      </c>
      <c r="AP9" s="61"/>
      <c r="AQ9" s="61"/>
      <c r="AR9" s="61"/>
      <c r="AS9" s="61">
        <f t="shared" si="15"/>
        <v>0</v>
      </c>
      <c r="AT9" s="105"/>
      <c r="AU9" s="105"/>
      <c r="AV9" s="61">
        <f>SUM(AM9:AO9)-AS9+AT9</f>
        <v>0</v>
      </c>
      <c r="AW9" s="61">
        <f t="shared" si="4"/>
        <v>0</v>
      </c>
      <c r="AX9" s="61">
        <f t="shared" si="5"/>
        <v>23</v>
      </c>
      <c r="AY9" s="61">
        <f t="shared" si="6"/>
        <v>0</v>
      </c>
      <c r="AZ9" s="61">
        <f t="shared" si="7"/>
        <v>0</v>
      </c>
      <c r="BA9" s="61">
        <f t="shared" si="8"/>
        <v>0</v>
      </c>
      <c r="BB9" s="61">
        <f t="shared" si="11"/>
        <v>0</v>
      </c>
      <c r="BC9" s="105"/>
      <c r="BD9" s="62">
        <f t="shared" si="9"/>
        <v>0</v>
      </c>
      <c r="BE9" s="105"/>
      <c r="BF9" s="117" t="s">
        <v>159</v>
      </c>
    </row>
    <row r="10" spans="1:58">
      <c r="A10" s="59">
        <v>4</v>
      </c>
      <c r="B10" s="103"/>
      <c r="C10" s="104"/>
      <c r="D10" s="105"/>
      <c r="E10" s="104"/>
      <c r="F10" s="106"/>
      <c r="G10" s="107"/>
      <c r="H10" s="105"/>
      <c r="I10" s="105"/>
      <c r="J10" s="105"/>
      <c r="K10" s="105"/>
      <c r="L10" s="105"/>
      <c r="M10" s="105"/>
      <c r="N10" s="105"/>
      <c r="O10" s="105"/>
      <c r="P10" s="105"/>
      <c r="Q10" s="105"/>
      <c r="R10" s="105"/>
      <c r="S10" s="105"/>
      <c r="T10" s="105"/>
      <c r="U10" s="105"/>
      <c r="V10" s="105"/>
      <c r="W10" s="105"/>
      <c r="X10" s="105"/>
      <c r="Y10" s="105"/>
      <c r="Z10" s="105"/>
      <c r="AA10" s="105"/>
      <c r="AB10" s="105"/>
      <c r="AC10" s="105"/>
      <c r="AD10" s="105"/>
      <c r="AE10" s="105"/>
      <c r="AF10" s="105"/>
      <c r="AG10" s="105"/>
      <c r="AH10" s="105"/>
      <c r="AI10" s="105"/>
      <c r="AJ10" s="105"/>
      <c r="AK10" s="105"/>
      <c r="AL10" s="97"/>
      <c r="AM10" s="60">
        <f t="shared" si="12"/>
        <v>0</v>
      </c>
      <c r="AN10" s="61">
        <f t="shared" si="13"/>
        <v>0</v>
      </c>
      <c r="AO10" s="61">
        <f t="shared" si="14"/>
        <v>0</v>
      </c>
      <c r="AP10" s="61"/>
      <c r="AQ10" s="61"/>
      <c r="AR10" s="61"/>
      <c r="AS10" s="61">
        <f t="shared" si="15"/>
        <v>0</v>
      </c>
      <c r="AT10" s="105"/>
      <c r="AU10" s="105"/>
      <c r="AV10" s="61">
        <f t="shared" ref="AV10:AV11" si="16">SUM(AM10:AO10)-AS10+AT10</f>
        <v>0</v>
      </c>
      <c r="AW10" s="61">
        <f t="shared" si="4"/>
        <v>0</v>
      </c>
      <c r="AX10" s="61">
        <f t="shared" si="5"/>
        <v>23</v>
      </c>
      <c r="AY10" s="61">
        <f t="shared" si="6"/>
        <v>0</v>
      </c>
      <c r="AZ10" s="61">
        <f t="shared" si="7"/>
        <v>0</v>
      </c>
      <c r="BA10" s="61">
        <f t="shared" si="8"/>
        <v>0</v>
      </c>
      <c r="BB10" s="61">
        <f t="shared" si="11"/>
        <v>0</v>
      </c>
      <c r="BC10" s="105"/>
      <c r="BD10" s="62">
        <f t="shared" si="9"/>
        <v>0</v>
      </c>
      <c r="BE10" s="105"/>
      <c r="BF10" s="117" t="s">
        <v>159</v>
      </c>
    </row>
    <row r="11" spans="1:58">
      <c r="A11" s="59">
        <v>5</v>
      </c>
      <c r="B11" s="103"/>
      <c r="C11" s="104"/>
      <c r="D11" s="105"/>
      <c r="E11" s="104"/>
      <c r="F11" s="106"/>
      <c r="G11" s="107"/>
      <c r="H11" s="105"/>
      <c r="I11" s="105"/>
      <c r="J11" s="105"/>
      <c r="K11" s="105"/>
      <c r="L11" s="105"/>
      <c r="M11" s="105"/>
      <c r="N11" s="105"/>
      <c r="O11" s="105"/>
      <c r="P11" s="105"/>
      <c r="Q11" s="105"/>
      <c r="R11" s="105"/>
      <c r="S11" s="105"/>
      <c r="T11" s="105"/>
      <c r="U11" s="105"/>
      <c r="V11" s="105"/>
      <c r="W11" s="105"/>
      <c r="X11" s="105"/>
      <c r="Y11" s="105"/>
      <c r="Z11" s="105"/>
      <c r="AA11" s="105"/>
      <c r="AB11" s="105"/>
      <c r="AC11" s="105"/>
      <c r="AD11" s="105"/>
      <c r="AE11" s="105"/>
      <c r="AF11" s="105"/>
      <c r="AG11" s="105"/>
      <c r="AH11" s="105"/>
      <c r="AI11" s="105"/>
      <c r="AJ11" s="105"/>
      <c r="AK11" s="105"/>
      <c r="AL11" s="97"/>
      <c r="AM11" s="60">
        <f t="shared" si="12"/>
        <v>0</v>
      </c>
      <c r="AN11" s="61">
        <f t="shared" si="13"/>
        <v>0</v>
      </c>
      <c r="AO11" s="61">
        <f t="shared" si="14"/>
        <v>0</v>
      </c>
      <c r="AP11" s="61"/>
      <c r="AQ11" s="61"/>
      <c r="AR11" s="61"/>
      <c r="AS11" s="61">
        <f t="shared" si="15"/>
        <v>0</v>
      </c>
      <c r="AT11" s="105"/>
      <c r="AU11" s="105"/>
      <c r="AV11" s="61">
        <f t="shared" si="16"/>
        <v>0</v>
      </c>
      <c r="AW11" s="61">
        <f t="shared" si="4"/>
        <v>0</v>
      </c>
      <c r="AX11" s="61">
        <f t="shared" si="5"/>
        <v>23</v>
      </c>
      <c r="AY11" s="61">
        <f t="shared" si="6"/>
        <v>0</v>
      </c>
      <c r="AZ11" s="61">
        <f t="shared" si="7"/>
        <v>0</v>
      </c>
      <c r="BA11" s="61">
        <f t="shared" si="8"/>
        <v>0</v>
      </c>
      <c r="BB11" s="61">
        <f t="shared" si="11"/>
        <v>0</v>
      </c>
      <c r="BC11" s="105"/>
      <c r="BD11" s="62">
        <f t="shared" si="9"/>
        <v>0</v>
      </c>
      <c r="BE11" s="105"/>
      <c r="BF11" s="117" t="s">
        <v>159</v>
      </c>
    </row>
    <row r="12" spans="1:58">
      <c r="A12" s="59">
        <v>6</v>
      </c>
      <c r="B12" s="103"/>
      <c r="C12" s="104"/>
      <c r="D12" s="105"/>
      <c r="E12" s="104"/>
      <c r="F12" s="106"/>
      <c r="G12" s="107"/>
      <c r="H12" s="105"/>
      <c r="I12" s="105"/>
      <c r="J12" s="105"/>
      <c r="K12" s="105"/>
      <c r="L12" s="105"/>
      <c r="M12" s="105"/>
      <c r="N12" s="105"/>
      <c r="O12" s="105"/>
      <c r="P12" s="105"/>
      <c r="Q12" s="105"/>
      <c r="R12" s="105"/>
      <c r="S12" s="105"/>
      <c r="T12" s="105"/>
      <c r="U12" s="105"/>
      <c r="V12" s="105"/>
      <c r="W12" s="105"/>
      <c r="X12" s="105"/>
      <c r="Y12" s="105"/>
      <c r="Z12" s="105"/>
      <c r="AA12" s="105"/>
      <c r="AB12" s="105"/>
      <c r="AC12" s="105"/>
      <c r="AD12" s="105"/>
      <c r="AE12" s="105"/>
      <c r="AF12" s="105"/>
      <c r="AG12" s="105"/>
      <c r="AH12" s="105"/>
      <c r="AI12" s="105"/>
      <c r="AJ12" s="105"/>
      <c r="AK12" s="105"/>
      <c r="AL12" s="97"/>
      <c r="AM12" s="60">
        <f t="shared" si="12"/>
        <v>0</v>
      </c>
      <c r="AN12" s="61">
        <f t="shared" si="13"/>
        <v>0</v>
      </c>
      <c r="AO12" s="61">
        <f t="shared" si="14"/>
        <v>0</v>
      </c>
      <c r="AP12" s="61"/>
      <c r="AQ12" s="61"/>
      <c r="AR12" s="61"/>
      <c r="AS12" s="61">
        <f t="shared" si="15"/>
        <v>0</v>
      </c>
      <c r="AT12" s="105"/>
      <c r="AU12" s="105"/>
      <c r="AV12" s="61">
        <f>SUM(AM12:AO12)-AS12+AT12</f>
        <v>0</v>
      </c>
      <c r="AW12" s="61">
        <f t="shared" si="4"/>
        <v>0</v>
      </c>
      <c r="AX12" s="61">
        <f t="shared" si="5"/>
        <v>23</v>
      </c>
      <c r="AY12" s="61">
        <f t="shared" si="6"/>
        <v>0</v>
      </c>
      <c r="AZ12" s="61">
        <f t="shared" si="7"/>
        <v>0</v>
      </c>
      <c r="BA12" s="61">
        <f t="shared" si="8"/>
        <v>0</v>
      </c>
      <c r="BB12" s="61">
        <f t="shared" si="11"/>
        <v>0</v>
      </c>
      <c r="BC12" s="105"/>
      <c r="BD12" s="62">
        <f t="shared" si="9"/>
        <v>0</v>
      </c>
      <c r="BE12" s="105"/>
      <c r="BF12" s="117" t="s">
        <v>159</v>
      </c>
    </row>
    <row r="13" spans="1:58">
      <c r="A13" s="59">
        <v>7</v>
      </c>
      <c r="B13" s="103"/>
      <c r="C13" s="104"/>
      <c r="D13" s="105"/>
      <c r="E13" s="104"/>
      <c r="F13" s="106"/>
      <c r="G13" s="107"/>
      <c r="H13" s="105"/>
      <c r="I13" s="105"/>
      <c r="J13" s="105"/>
      <c r="K13" s="105"/>
      <c r="L13" s="105"/>
      <c r="M13" s="105"/>
      <c r="N13" s="105"/>
      <c r="O13" s="105"/>
      <c r="P13" s="105"/>
      <c r="Q13" s="105"/>
      <c r="R13" s="105"/>
      <c r="S13" s="105"/>
      <c r="T13" s="105"/>
      <c r="U13" s="105"/>
      <c r="V13" s="105"/>
      <c r="W13" s="105"/>
      <c r="X13" s="105"/>
      <c r="Y13" s="105"/>
      <c r="Z13" s="105"/>
      <c r="AA13" s="105"/>
      <c r="AB13" s="105"/>
      <c r="AC13" s="105"/>
      <c r="AD13" s="105"/>
      <c r="AE13" s="105"/>
      <c r="AF13" s="105"/>
      <c r="AG13" s="105"/>
      <c r="AH13" s="105"/>
      <c r="AI13" s="105"/>
      <c r="AJ13" s="105"/>
      <c r="AK13" s="105"/>
      <c r="AL13" s="97"/>
      <c r="AM13" s="60">
        <f t="shared" si="12"/>
        <v>0</v>
      </c>
      <c r="AN13" s="61">
        <f t="shared" si="13"/>
        <v>0</v>
      </c>
      <c r="AO13" s="61">
        <f t="shared" si="14"/>
        <v>0</v>
      </c>
      <c r="AP13" s="61"/>
      <c r="AQ13" s="61"/>
      <c r="AR13" s="61"/>
      <c r="AS13" s="61">
        <f t="shared" si="15"/>
        <v>0</v>
      </c>
      <c r="AT13" s="105"/>
      <c r="AU13" s="105"/>
      <c r="AV13" s="61">
        <f t="shared" ref="AV13:AV14" si="17">SUM(AM13:AO13)-AS13+AT13</f>
        <v>0</v>
      </c>
      <c r="AW13" s="61">
        <f t="shared" si="4"/>
        <v>0</v>
      </c>
      <c r="AX13" s="61">
        <f t="shared" si="5"/>
        <v>23</v>
      </c>
      <c r="AY13" s="61">
        <f t="shared" si="6"/>
        <v>0</v>
      </c>
      <c r="AZ13" s="61">
        <f t="shared" si="7"/>
        <v>0</v>
      </c>
      <c r="BA13" s="61">
        <f t="shared" si="8"/>
        <v>0</v>
      </c>
      <c r="BB13" s="61">
        <f t="shared" si="11"/>
        <v>0</v>
      </c>
      <c r="BC13" s="105"/>
      <c r="BD13" s="62">
        <f t="shared" si="9"/>
        <v>0</v>
      </c>
      <c r="BE13" s="105"/>
      <c r="BF13" s="117" t="s">
        <v>159</v>
      </c>
    </row>
    <row r="14" spans="1:58">
      <c r="A14" s="59">
        <v>8</v>
      </c>
      <c r="B14" s="103"/>
      <c r="C14" s="104"/>
      <c r="D14" s="105"/>
      <c r="E14" s="104"/>
      <c r="F14" s="106"/>
      <c r="G14" s="107"/>
      <c r="H14" s="105"/>
      <c r="I14" s="105"/>
      <c r="J14" s="105"/>
      <c r="K14" s="105"/>
      <c r="L14" s="105"/>
      <c r="M14" s="105"/>
      <c r="N14" s="105"/>
      <c r="O14" s="105"/>
      <c r="P14" s="105"/>
      <c r="Q14" s="105"/>
      <c r="R14" s="105"/>
      <c r="S14" s="105"/>
      <c r="T14" s="105"/>
      <c r="U14" s="105"/>
      <c r="V14" s="105"/>
      <c r="W14" s="105"/>
      <c r="X14" s="105"/>
      <c r="Y14" s="105"/>
      <c r="Z14" s="105"/>
      <c r="AA14" s="105"/>
      <c r="AB14" s="105"/>
      <c r="AC14" s="105"/>
      <c r="AD14" s="105"/>
      <c r="AE14" s="105"/>
      <c r="AF14" s="105"/>
      <c r="AG14" s="105"/>
      <c r="AH14" s="105"/>
      <c r="AI14" s="105"/>
      <c r="AJ14" s="105"/>
      <c r="AK14" s="105"/>
      <c r="AL14" s="97"/>
      <c r="AM14" s="60">
        <f t="shared" si="12"/>
        <v>0</v>
      </c>
      <c r="AN14" s="61">
        <f t="shared" si="13"/>
        <v>0</v>
      </c>
      <c r="AO14" s="61">
        <f t="shared" si="14"/>
        <v>0</v>
      </c>
      <c r="AP14" s="61"/>
      <c r="AQ14" s="61"/>
      <c r="AR14" s="61"/>
      <c r="AS14" s="61">
        <f t="shared" si="15"/>
        <v>0</v>
      </c>
      <c r="AT14" s="105"/>
      <c r="AU14" s="105"/>
      <c r="AV14" s="61">
        <f t="shared" si="17"/>
        <v>0</v>
      </c>
      <c r="AW14" s="61">
        <f t="shared" si="4"/>
        <v>0</v>
      </c>
      <c r="AX14" s="61">
        <f t="shared" si="5"/>
        <v>23</v>
      </c>
      <c r="AY14" s="61">
        <f t="shared" si="6"/>
        <v>0</v>
      </c>
      <c r="AZ14" s="61">
        <f t="shared" si="7"/>
        <v>0</v>
      </c>
      <c r="BA14" s="61">
        <f t="shared" si="8"/>
        <v>0</v>
      </c>
      <c r="BB14" s="61">
        <f t="shared" si="11"/>
        <v>0</v>
      </c>
      <c r="BC14" s="105"/>
      <c r="BD14" s="62">
        <f t="shared" si="9"/>
        <v>0</v>
      </c>
      <c r="BE14" s="105"/>
      <c r="BF14" s="117" t="s">
        <v>159</v>
      </c>
    </row>
    <row r="15" spans="1:58">
      <c r="A15" s="59">
        <v>9</v>
      </c>
      <c r="B15" s="103"/>
      <c r="C15" s="104"/>
      <c r="D15" s="105"/>
      <c r="E15" s="104"/>
      <c r="F15" s="106"/>
      <c r="G15" s="107"/>
      <c r="H15" s="105"/>
      <c r="I15" s="105"/>
      <c r="J15" s="105"/>
      <c r="K15" s="105"/>
      <c r="L15" s="105"/>
      <c r="M15" s="105"/>
      <c r="N15" s="105"/>
      <c r="O15" s="105"/>
      <c r="P15" s="105"/>
      <c r="Q15" s="105"/>
      <c r="R15" s="105"/>
      <c r="S15" s="105"/>
      <c r="T15" s="105"/>
      <c r="U15" s="105"/>
      <c r="V15" s="105"/>
      <c r="W15" s="105"/>
      <c r="X15" s="105"/>
      <c r="Y15" s="105"/>
      <c r="Z15" s="105"/>
      <c r="AA15" s="105"/>
      <c r="AB15" s="105"/>
      <c r="AC15" s="105"/>
      <c r="AD15" s="105"/>
      <c r="AE15" s="105"/>
      <c r="AF15" s="105"/>
      <c r="AG15" s="105"/>
      <c r="AH15" s="105"/>
      <c r="AI15" s="105"/>
      <c r="AJ15" s="105"/>
      <c r="AK15" s="105"/>
      <c r="AL15" s="97"/>
      <c r="AM15" s="60">
        <f t="shared" si="12"/>
        <v>0</v>
      </c>
      <c r="AN15" s="61">
        <f t="shared" si="13"/>
        <v>0</v>
      </c>
      <c r="AO15" s="61">
        <f t="shared" si="14"/>
        <v>0</v>
      </c>
      <c r="AP15" s="61"/>
      <c r="AQ15" s="61"/>
      <c r="AR15" s="61"/>
      <c r="AS15" s="61">
        <f t="shared" si="15"/>
        <v>0</v>
      </c>
      <c r="AT15" s="105"/>
      <c r="AU15" s="105"/>
      <c r="AV15" s="61">
        <f>SUM(AM15:AO15)-AS15+AT15</f>
        <v>0</v>
      </c>
      <c r="AW15" s="61">
        <f t="shared" si="4"/>
        <v>0</v>
      </c>
      <c r="AX15" s="61">
        <f t="shared" si="5"/>
        <v>23</v>
      </c>
      <c r="AY15" s="61">
        <f t="shared" si="6"/>
        <v>0</v>
      </c>
      <c r="AZ15" s="61">
        <f t="shared" si="7"/>
        <v>0</v>
      </c>
      <c r="BA15" s="61">
        <f t="shared" si="8"/>
        <v>0</v>
      </c>
      <c r="BB15" s="61">
        <f t="shared" si="11"/>
        <v>0</v>
      </c>
      <c r="BC15" s="105"/>
      <c r="BD15" s="62">
        <f t="shared" si="9"/>
        <v>0</v>
      </c>
      <c r="BE15" s="105"/>
      <c r="BF15" s="117" t="s">
        <v>159</v>
      </c>
    </row>
    <row r="16" spans="1:58">
      <c r="A16" s="59">
        <v>10</v>
      </c>
      <c r="B16" s="103"/>
      <c r="C16" s="104"/>
      <c r="D16" s="105"/>
      <c r="E16" s="104"/>
      <c r="F16" s="106"/>
      <c r="G16" s="107"/>
      <c r="H16" s="105"/>
      <c r="I16" s="105"/>
      <c r="J16" s="105"/>
      <c r="K16" s="105"/>
      <c r="L16" s="105"/>
      <c r="M16" s="105"/>
      <c r="N16" s="105"/>
      <c r="O16" s="105"/>
      <c r="P16" s="105"/>
      <c r="Q16" s="105"/>
      <c r="R16" s="105"/>
      <c r="S16" s="105"/>
      <c r="T16" s="105"/>
      <c r="U16" s="105"/>
      <c r="V16" s="105"/>
      <c r="W16" s="105"/>
      <c r="X16" s="105"/>
      <c r="Y16" s="105"/>
      <c r="Z16" s="105"/>
      <c r="AA16" s="105"/>
      <c r="AB16" s="105"/>
      <c r="AC16" s="105"/>
      <c r="AD16" s="105"/>
      <c r="AE16" s="105"/>
      <c r="AF16" s="105"/>
      <c r="AG16" s="105"/>
      <c r="AH16" s="105"/>
      <c r="AI16" s="105"/>
      <c r="AJ16" s="105"/>
      <c r="AK16" s="105"/>
      <c r="AL16" s="97"/>
      <c r="AM16" s="60">
        <f t="shared" si="12"/>
        <v>0</v>
      </c>
      <c r="AN16" s="61">
        <f t="shared" si="13"/>
        <v>0</v>
      </c>
      <c r="AO16" s="61">
        <f t="shared" si="14"/>
        <v>0</v>
      </c>
      <c r="AP16" s="61"/>
      <c r="AQ16" s="61"/>
      <c r="AR16" s="61"/>
      <c r="AS16" s="61">
        <f t="shared" si="15"/>
        <v>0</v>
      </c>
      <c r="AT16" s="105"/>
      <c r="AU16" s="105"/>
      <c r="AV16" s="61">
        <f t="shared" ref="AV16:AV17" si="18">SUM(AM16:AO16)-AS16+AT16</f>
        <v>0</v>
      </c>
      <c r="AW16" s="61">
        <f t="shared" si="4"/>
        <v>0</v>
      </c>
      <c r="AX16" s="61">
        <f t="shared" si="5"/>
        <v>23</v>
      </c>
      <c r="AY16" s="61">
        <f t="shared" si="6"/>
        <v>0</v>
      </c>
      <c r="AZ16" s="61">
        <f t="shared" si="7"/>
        <v>0</v>
      </c>
      <c r="BA16" s="61">
        <f t="shared" si="8"/>
        <v>0</v>
      </c>
      <c r="BB16" s="61">
        <f t="shared" si="11"/>
        <v>0</v>
      </c>
      <c r="BC16" s="105"/>
      <c r="BD16" s="62">
        <f t="shared" si="9"/>
        <v>0</v>
      </c>
      <c r="BE16" s="105"/>
      <c r="BF16" s="117" t="s">
        <v>159</v>
      </c>
    </row>
    <row r="17" spans="1:58">
      <c r="A17" s="59">
        <v>11</v>
      </c>
      <c r="B17" s="103"/>
      <c r="C17" s="104"/>
      <c r="D17" s="105"/>
      <c r="E17" s="104"/>
      <c r="F17" s="106"/>
      <c r="G17" s="107"/>
      <c r="H17" s="105"/>
      <c r="I17" s="105"/>
      <c r="J17" s="105"/>
      <c r="K17" s="105"/>
      <c r="L17" s="105"/>
      <c r="M17" s="105"/>
      <c r="N17" s="105"/>
      <c r="O17" s="105"/>
      <c r="P17" s="105"/>
      <c r="Q17" s="105"/>
      <c r="R17" s="105"/>
      <c r="S17" s="105"/>
      <c r="T17" s="105"/>
      <c r="U17" s="105"/>
      <c r="V17" s="105"/>
      <c r="W17" s="105"/>
      <c r="X17" s="105"/>
      <c r="Y17" s="105"/>
      <c r="Z17" s="105"/>
      <c r="AA17" s="105"/>
      <c r="AB17" s="105"/>
      <c r="AC17" s="105"/>
      <c r="AD17" s="105"/>
      <c r="AE17" s="105"/>
      <c r="AF17" s="105"/>
      <c r="AG17" s="105"/>
      <c r="AH17" s="105"/>
      <c r="AI17" s="105"/>
      <c r="AJ17" s="105"/>
      <c r="AK17" s="105"/>
      <c r="AL17" s="97"/>
      <c r="AM17" s="60">
        <f t="shared" si="12"/>
        <v>0</v>
      </c>
      <c r="AN17" s="61">
        <f t="shared" si="13"/>
        <v>0</v>
      </c>
      <c r="AO17" s="61">
        <f t="shared" si="14"/>
        <v>0</v>
      </c>
      <c r="AP17" s="61"/>
      <c r="AQ17" s="61"/>
      <c r="AR17" s="61"/>
      <c r="AS17" s="61">
        <f t="shared" si="15"/>
        <v>0</v>
      </c>
      <c r="AT17" s="105"/>
      <c r="AU17" s="105"/>
      <c r="AV17" s="61">
        <f t="shared" si="18"/>
        <v>0</v>
      </c>
      <c r="AW17" s="61">
        <f t="shared" si="4"/>
        <v>0</v>
      </c>
      <c r="AX17" s="61">
        <f t="shared" si="5"/>
        <v>23</v>
      </c>
      <c r="AY17" s="61">
        <f t="shared" si="6"/>
        <v>0</v>
      </c>
      <c r="AZ17" s="61">
        <f t="shared" si="7"/>
        <v>0</v>
      </c>
      <c r="BA17" s="61">
        <f t="shared" si="8"/>
        <v>0</v>
      </c>
      <c r="BB17" s="61">
        <f t="shared" si="11"/>
        <v>0</v>
      </c>
      <c r="BC17" s="105"/>
      <c r="BD17" s="62">
        <f t="shared" si="9"/>
        <v>0</v>
      </c>
      <c r="BE17" s="105"/>
      <c r="BF17" s="117" t="s">
        <v>159</v>
      </c>
    </row>
    <row r="18" spans="1:58">
      <c r="A18" s="59">
        <v>12</v>
      </c>
      <c r="B18" s="103"/>
      <c r="C18" s="104"/>
      <c r="D18" s="105"/>
      <c r="E18" s="104"/>
      <c r="F18" s="106"/>
      <c r="G18" s="107"/>
      <c r="H18" s="105"/>
      <c r="I18" s="105"/>
      <c r="J18" s="105"/>
      <c r="K18" s="105"/>
      <c r="L18" s="105"/>
      <c r="M18" s="105"/>
      <c r="N18" s="105"/>
      <c r="O18" s="105"/>
      <c r="P18" s="105"/>
      <c r="Q18" s="105"/>
      <c r="R18" s="105"/>
      <c r="S18" s="105"/>
      <c r="T18" s="105"/>
      <c r="U18" s="105"/>
      <c r="V18" s="105"/>
      <c r="W18" s="105"/>
      <c r="X18" s="105"/>
      <c r="Y18" s="105"/>
      <c r="Z18" s="105"/>
      <c r="AA18" s="105"/>
      <c r="AB18" s="105"/>
      <c r="AC18" s="105"/>
      <c r="AD18" s="105"/>
      <c r="AE18" s="105"/>
      <c r="AF18" s="105"/>
      <c r="AG18" s="105"/>
      <c r="AH18" s="105"/>
      <c r="AI18" s="105"/>
      <c r="AJ18" s="105"/>
      <c r="AK18" s="105"/>
      <c r="AL18" s="97"/>
      <c r="AM18" s="60">
        <f t="shared" si="12"/>
        <v>0</v>
      </c>
      <c r="AN18" s="61">
        <f t="shared" si="13"/>
        <v>0</v>
      </c>
      <c r="AO18" s="61">
        <f t="shared" si="14"/>
        <v>0</v>
      </c>
      <c r="AP18" s="61"/>
      <c r="AQ18" s="61"/>
      <c r="AR18" s="61"/>
      <c r="AS18" s="61">
        <f t="shared" si="15"/>
        <v>0</v>
      </c>
      <c r="AT18" s="105"/>
      <c r="AU18" s="105"/>
      <c r="AV18" s="61">
        <f t="shared" ref="AV18:AV19" si="19">SUM(AM18:AO18)-AS18+AT18</f>
        <v>0</v>
      </c>
      <c r="AW18" s="61">
        <f t="shared" si="4"/>
        <v>0</v>
      </c>
      <c r="AX18" s="61">
        <f t="shared" si="5"/>
        <v>23</v>
      </c>
      <c r="AY18" s="61">
        <f t="shared" si="6"/>
        <v>0</v>
      </c>
      <c r="AZ18" s="61">
        <f t="shared" si="7"/>
        <v>0</v>
      </c>
      <c r="BA18" s="61">
        <f t="shared" si="8"/>
        <v>0</v>
      </c>
      <c r="BB18" s="61">
        <f t="shared" si="11"/>
        <v>0</v>
      </c>
      <c r="BC18" s="105"/>
      <c r="BD18" s="62">
        <f t="shared" si="9"/>
        <v>0</v>
      </c>
      <c r="BE18" s="105"/>
      <c r="BF18" s="117" t="s">
        <v>159</v>
      </c>
    </row>
    <row r="19" spans="1:58">
      <c r="A19" s="59">
        <v>13</v>
      </c>
      <c r="B19" s="103"/>
      <c r="C19" s="104"/>
      <c r="D19" s="105"/>
      <c r="E19" s="104"/>
      <c r="F19" s="106"/>
      <c r="G19" s="107"/>
      <c r="H19" s="105"/>
      <c r="I19" s="105"/>
      <c r="J19" s="105"/>
      <c r="K19" s="105"/>
      <c r="L19" s="105"/>
      <c r="M19" s="105"/>
      <c r="N19" s="105"/>
      <c r="O19" s="105"/>
      <c r="P19" s="105"/>
      <c r="Q19" s="105"/>
      <c r="R19" s="105"/>
      <c r="S19" s="105"/>
      <c r="T19" s="105"/>
      <c r="U19" s="105"/>
      <c r="V19" s="105"/>
      <c r="W19" s="105"/>
      <c r="X19" s="105"/>
      <c r="Y19" s="105"/>
      <c r="Z19" s="105"/>
      <c r="AA19" s="105"/>
      <c r="AB19" s="105"/>
      <c r="AC19" s="105"/>
      <c r="AD19" s="105"/>
      <c r="AE19" s="105"/>
      <c r="AF19" s="105"/>
      <c r="AG19" s="105"/>
      <c r="AH19" s="105"/>
      <c r="AI19" s="105"/>
      <c r="AJ19" s="105"/>
      <c r="AK19" s="105"/>
      <c r="AL19" s="97"/>
      <c r="AM19" s="60">
        <f t="shared" si="12"/>
        <v>0</v>
      </c>
      <c r="AN19" s="61">
        <f t="shared" si="13"/>
        <v>0</v>
      </c>
      <c r="AO19" s="61">
        <f t="shared" si="14"/>
        <v>0</v>
      </c>
      <c r="AP19" s="61"/>
      <c r="AQ19" s="61"/>
      <c r="AR19" s="61"/>
      <c r="AS19" s="61">
        <f t="shared" si="15"/>
        <v>0</v>
      </c>
      <c r="AT19" s="105"/>
      <c r="AU19" s="105"/>
      <c r="AV19" s="61">
        <f t="shared" si="19"/>
        <v>0</v>
      </c>
      <c r="AW19" s="61">
        <f t="shared" si="4"/>
        <v>0</v>
      </c>
      <c r="AX19" s="61">
        <f t="shared" si="5"/>
        <v>23</v>
      </c>
      <c r="AY19" s="61">
        <f t="shared" si="6"/>
        <v>0</v>
      </c>
      <c r="AZ19" s="61">
        <f t="shared" si="7"/>
        <v>0</v>
      </c>
      <c r="BA19" s="61">
        <f t="shared" si="8"/>
        <v>0</v>
      </c>
      <c r="BB19" s="61">
        <f t="shared" si="11"/>
        <v>0</v>
      </c>
      <c r="BC19" s="105"/>
      <c r="BD19" s="62">
        <f t="shared" si="9"/>
        <v>0</v>
      </c>
      <c r="BE19" s="105"/>
      <c r="BF19" s="117" t="s">
        <v>159</v>
      </c>
    </row>
    <row r="20" spans="1:58">
      <c r="A20" s="59">
        <v>14</v>
      </c>
      <c r="B20" s="103"/>
      <c r="C20" s="104"/>
      <c r="D20" s="105"/>
      <c r="E20" s="104"/>
      <c r="F20" s="106"/>
      <c r="G20" s="107"/>
      <c r="H20" s="105"/>
      <c r="I20" s="105"/>
      <c r="J20" s="105"/>
      <c r="K20" s="105"/>
      <c r="L20" s="105"/>
      <c r="M20" s="105"/>
      <c r="N20" s="105"/>
      <c r="O20" s="105"/>
      <c r="P20" s="105"/>
      <c r="Q20" s="105"/>
      <c r="R20" s="105"/>
      <c r="S20" s="105"/>
      <c r="T20" s="105"/>
      <c r="U20" s="105"/>
      <c r="V20" s="105"/>
      <c r="W20" s="105"/>
      <c r="X20" s="105"/>
      <c r="Y20" s="105"/>
      <c r="Z20" s="105"/>
      <c r="AA20" s="105"/>
      <c r="AB20" s="105"/>
      <c r="AC20" s="105"/>
      <c r="AD20" s="105"/>
      <c r="AE20" s="105"/>
      <c r="AF20" s="105"/>
      <c r="AG20" s="105"/>
      <c r="AH20" s="105"/>
      <c r="AI20" s="105"/>
      <c r="AJ20" s="105"/>
      <c r="AK20" s="105"/>
      <c r="AL20" s="97"/>
      <c r="AM20" s="60">
        <f t="shared" si="12"/>
        <v>0</v>
      </c>
      <c r="AN20" s="61">
        <f t="shared" si="13"/>
        <v>0</v>
      </c>
      <c r="AO20" s="61">
        <f t="shared" si="14"/>
        <v>0</v>
      </c>
      <c r="AP20" s="61"/>
      <c r="AQ20" s="61"/>
      <c r="AR20" s="61"/>
      <c r="AS20" s="61">
        <f t="shared" si="15"/>
        <v>0</v>
      </c>
      <c r="AT20" s="105"/>
      <c r="AU20" s="105"/>
      <c r="AV20" s="61">
        <f t="shared" ref="AV20:AV21" si="20">SUM(AM20:AO20)-AS20+AT20</f>
        <v>0</v>
      </c>
      <c r="AW20" s="61">
        <f t="shared" si="4"/>
        <v>0</v>
      </c>
      <c r="AX20" s="61">
        <f t="shared" si="5"/>
        <v>23</v>
      </c>
      <c r="AY20" s="61">
        <f t="shared" si="6"/>
        <v>0</v>
      </c>
      <c r="AZ20" s="61">
        <f t="shared" si="7"/>
        <v>0</v>
      </c>
      <c r="BA20" s="61">
        <f t="shared" si="8"/>
        <v>0</v>
      </c>
      <c r="BB20" s="61">
        <f t="shared" si="11"/>
        <v>0</v>
      </c>
      <c r="BC20" s="105"/>
      <c r="BD20" s="62">
        <f t="shared" si="9"/>
        <v>0</v>
      </c>
      <c r="BE20" s="105"/>
      <c r="BF20" s="117" t="s">
        <v>159</v>
      </c>
    </row>
    <row r="21" spans="1:58">
      <c r="A21" s="59">
        <v>15</v>
      </c>
      <c r="B21" s="103"/>
      <c r="C21" s="104"/>
      <c r="D21" s="105"/>
      <c r="E21" s="104"/>
      <c r="F21" s="106"/>
      <c r="G21" s="107"/>
      <c r="H21" s="105"/>
      <c r="I21" s="105"/>
      <c r="J21" s="105"/>
      <c r="K21" s="105"/>
      <c r="L21" s="105"/>
      <c r="M21" s="105"/>
      <c r="N21" s="105"/>
      <c r="O21" s="105"/>
      <c r="P21" s="105"/>
      <c r="Q21" s="105"/>
      <c r="R21" s="105"/>
      <c r="S21" s="105"/>
      <c r="T21" s="105"/>
      <c r="U21" s="105"/>
      <c r="V21" s="105"/>
      <c r="W21" s="105"/>
      <c r="X21" s="105"/>
      <c r="Y21" s="105"/>
      <c r="Z21" s="105"/>
      <c r="AA21" s="105"/>
      <c r="AB21" s="105"/>
      <c r="AC21" s="105"/>
      <c r="AD21" s="105"/>
      <c r="AE21" s="105"/>
      <c r="AF21" s="105"/>
      <c r="AG21" s="105"/>
      <c r="AH21" s="105"/>
      <c r="AI21" s="105"/>
      <c r="AJ21" s="105"/>
      <c r="AK21" s="105"/>
      <c r="AL21" s="97"/>
      <c r="AM21" s="60">
        <f t="shared" si="12"/>
        <v>0</v>
      </c>
      <c r="AN21" s="61">
        <f t="shared" si="13"/>
        <v>0</v>
      </c>
      <c r="AO21" s="61">
        <f t="shared" si="14"/>
        <v>0</v>
      </c>
      <c r="AP21" s="61"/>
      <c r="AQ21" s="61"/>
      <c r="AR21" s="61"/>
      <c r="AS21" s="61">
        <f t="shared" si="15"/>
        <v>0</v>
      </c>
      <c r="AT21" s="105"/>
      <c r="AU21" s="105"/>
      <c r="AV21" s="61">
        <f t="shared" si="20"/>
        <v>0</v>
      </c>
      <c r="AW21" s="61">
        <f t="shared" si="4"/>
        <v>0</v>
      </c>
      <c r="AX21" s="61">
        <f t="shared" si="5"/>
        <v>23</v>
      </c>
      <c r="AY21" s="61">
        <f t="shared" si="6"/>
        <v>0</v>
      </c>
      <c r="AZ21" s="61">
        <f t="shared" si="7"/>
        <v>0</v>
      </c>
      <c r="BA21" s="61">
        <f t="shared" si="8"/>
        <v>0</v>
      </c>
      <c r="BB21" s="61">
        <f t="shared" si="11"/>
        <v>0</v>
      </c>
      <c r="BC21" s="105"/>
      <c r="BD21" s="62">
        <f t="shared" si="9"/>
        <v>0</v>
      </c>
      <c r="BE21" s="105"/>
      <c r="BF21" s="117" t="s">
        <v>159</v>
      </c>
    </row>
    <row r="22" spans="1:58">
      <c r="A22" s="59">
        <v>16</v>
      </c>
      <c r="B22" s="103"/>
      <c r="C22" s="104"/>
      <c r="D22" s="105"/>
      <c r="E22" s="104"/>
      <c r="F22" s="106"/>
      <c r="G22" s="107"/>
      <c r="H22" s="105"/>
      <c r="I22" s="105"/>
      <c r="J22" s="105"/>
      <c r="K22" s="105"/>
      <c r="L22" s="105"/>
      <c r="M22" s="105"/>
      <c r="N22" s="105"/>
      <c r="O22" s="105"/>
      <c r="P22" s="105"/>
      <c r="Q22" s="105"/>
      <c r="R22" s="105"/>
      <c r="S22" s="105"/>
      <c r="T22" s="105"/>
      <c r="U22" s="105"/>
      <c r="V22" s="105"/>
      <c r="W22" s="105"/>
      <c r="X22" s="105"/>
      <c r="Y22" s="105"/>
      <c r="Z22" s="105"/>
      <c r="AA22" s="105"/>
      <c r="AB22" s="105"/>
      <c r="AC22" s="105"/>
      <c r="AD22" s="105"/>
      <c r="AE22" s="105"/>
      <c r="AF22" s="105"/>
      <c r="AG22" s="105"/>
      <c r="AH22" s="105"/>
      <c r="AI22" s="105"/>
      <c r="AJ22" s="105"/>
      <c r="AK22" s="105"/>
      <c r="AL22" s="97"/>
      <c r="AM22" s="60">
        <f t="shared" si="12"/>
        <v>0</v>
      </c>
      <c r="AN22" s="61">
        <f t="shared" si="13"/>
        <v>0</v>
      </c>
      <c r="AO22" s="61">
        <f t="shared" si="14"/>
        <v>0</v>
      </c>
      <c r="AP22" s="61"/>
      <c r="AQ22" s="61"/>
      <c r="AR22" s="61"/>
      <c r="AS22" s="61">
        <f t="shared" si="15"/>
        <v>0</v>
      </c>
      <c r="AT22" s="105"/>
      <c r="AU22" s="105"/>
      <c r="AV22" s="61">
        <f t="shared" ref="AV22:AV36" si="21">SUM(AM22:AO22)-AS22+AT22</f>
        <v>0</v>
      </c>
      <c r="AW22" s="61">
        <f t="shared" si="4"/>
        <v>0</v>
      </c>
      <c r="AX22" s="61">
        <f t="shared" si="5"/>
        <v>23</v>
      </c>
      <c r="AY22" s="61">
        <f t="shared" si="6"/>
        <v>0</v>
      </c>
      <c r="AZ22" s="61">
        <f t="shared" si="7"/>
        <v>0</v>
      </c>
      <c r="BA22" s="61">
        <f t="shared" si="8"/>
        <v>0</v>
      </c>
      <c r="BB22" s="61">
        <f t="shared" si="11"/>
        <v>0</v>
      </c>
      <c r="BC22" s="105"/>
      <c r="BD22" s="62">
        <f t="shared" si="9"/>
        <v>0</v>
      </c>
      <c r="BE22" s="105"/>
      <c r="BF22" s="117" t="s">
        <v>159</v>
      </c>
    </row>
    <row r="23" spans="1:58">
      <c r="A23" s="59">
        <v>17</v>
      </c>
      <c r="B23" s="103"/>
      <c r="C23" s="104"/>
      <c r="D23" s="105"/>
      <c r="E23" s="104"/>
      <c r="F23" s="106"/>
      <c r="G23" s="107"/>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7"/>
      <c r="AM23" s="60">
        <f t="shared" si="12"/>
        <v>0</v>
      </c>
      <c r="AN23" s="61">
        <f t="shared" si="13"/>
        <v>0</v>
      </c>
      <c r="AO23" s="61">
        <f t="shared" si="14"/>
        <v>0</v>
      </c>
      <c r="AP23" s="61"/>
      <c r="AQ23" s="61"/>
      <c r="AR23" s="61"/>
      <c r="AS23" s="61">
        <f t="shared" si="15"/>
        <v>0</v>
      </c>
      <c r="AT23" s="105"/>
      <c r="AU23" s="105"/>
      <c r="AV23" s="61">
        <f t="shared" si="21"/>
        <v>0</v>
      </c>
      <c r="AW23" s="61">
        <f t="shared" si="4"/>
        <v>0</v>
      </c>
      <c r="AX23" s="61">
        <f t="shared" si="5"/>
        <v>23</v>
      </c>
      <c r="AY23" s="61">
        <f t="shared" si="6"/>
        <v>0</v>
      </c>
      <c r="AZ23" s="61">
        <f t="shared" si="7"/>
        <v>0</v>
      </c>
      <c r="BA23" s="61">
        <f t="shared" si="8"/>
        <v>0</v>
      </c>
      <c r="BB23" s="61">
        <f t="shared" si="11"/>
        <v>0</v>
      </c>
      <c r="BC23" s="105"/>
      <c r="BD23" s="62">
        <f t="shared" si="9"/>
        <v>0</v>
      </c>
      <c r="BE23" s="105"/>
      <c r="BF23" s="117" t="s">
        <v>159</v>
      </c>
    </row>
    <row r="24" spans="1:58">
      <c r="A24" s="59">
        <v>18</v>
      </c>
      <c r="B24" s="103"/>
      <c r="C24" s="104"/>
      <c r="D24" s="105"/>
      <c r="E24" s="104"/>
      <c r="F24" s="106"/>
      <c r="G24" s="107"/>
      <c r="H24" s="105"/>
      <c r="I24" s="105"/>
      <c r="J24" s="105"/>
      <c r="K24" s="105"/>
      <c r="L24" s="105"/>
      <c r="M24" s="105"/>
      <c r="N24" s="105"/>
      <c r="O24" s="105"/>
      <c r="P24" s="105"/>
      <c r="Q24" s="105"/>
      <c r="R24" s="105"/>
      <c r="S24" s="105"/>
      <c r="T24" s="105"/>
      <c r="U24" s="105"/>
      <c r="V24" s="105"/>
      <c r="W24" s="105"/>
      <c r="X24" s="105"/>
      <c r="Y24" s="105"/>
      <c r="Z24" s="105"/>
      <c r="AA24" s="105"/>
      <c r="AB24" s="105"/>
      <c r="AC24" s="105"/>
      <c r="AD24" s="105"/>
      <c r="AE24" s="105"/>
      <c r="AF24" s="105"/>
      <c r="AG24" s="105"/>
      <c r="AH24" s="105"/>
      <c r="AI24" s="105"/>
      <c r="AJ24" s="105"/>
      <c r="AK24" s="105"/>
      <c r="AL24" s="97"/>
      <c r="AM24" s="60">
        <f t="shared" si="12"/>
        <v>0</v>
      </c>
      <c r="AN24" s="61">
        <f t="shared" si="13"/>
        <v>0</v>
      </c>
      <c r="AO24" s="61">
        <f t="shared" si="14"/>
        <v>0</v>
      </c>
      <c r="AP24" s="61"/>
      <c r="AQ24" s="61"/>
      <c r="AR24" s="61"/>
      <c r="AS24" s="61">
        <f t="shared" si="15"/>
        <v>0</v>
      </c>
      <c r="AT24" s="105"/>
      <c r="AU24" s="105"/>
      <c r="AV24" s="61">
        <f t="shared" si="21"/>
        <v>0</v>
      </c>
      <c r="AW24" s="61">
        <f t="shared" si="4"/>
        <v>0</v>
      </c>
      <c r="AX24" s="61">
        <f t="shared" si="5"/>
        <v>23</v>
      </c>
      <c r="AY24" s="61">
        <f t="shared" si="6"/>
        <v>0</v>
      </c>
      <c r="AZ24" s="61">
        <f t="shared" si="7"/>
        <v>0</v>
      </c>
      <c r="BA24" s="61">
        <f t="shared" si="8"/>
        <v>0</v>
      </c>
      <c r="BB24" s="61">
        <f t="shared" si="11"/>
        <v>0</v>
      </c>
      <c r="BC24" s="105"/>
      <c r="BD24" s="62">
        <f t="shared" si="9"/>
        <v>0</v>
      </c>
      <c r="BE24" s="105"/>
      <c r="BF24" s="117" t="s">
        <v>159</v>
      </c>
    </row>
    <row r="25" spans="1:58">
      <c r="A25" s="59">
        <v>19</v>
      </c>
      <c r="B25" s="103"/>
      <c r="C25" s="104"/>
      <c r="D25" s="105"/>
      <c r="E25" s="104"/>
      <c r="F25" s="106"/>
      <c r="G25" s="107"/>
      <c r="H25" s="105"/>
      <c r="I25" s="105"/>
      <c r="J25" s="105"/>
      <c r="K25" s="105"/>
      <c r="L25" s="105"/>
      <c r="M25" s="105"/>
      <c r="N25" s="105"/>
      <c r="O25" s="105"/>
      <c r="P25" s="105"/>
      <c r="Q25" s="105"/>
      <c r="R25" s="105"/>
      <c r="S25" s="105"/>
      <c r="T25" s="105"/>
      <c r="U25" s="105"/>
      <c r="V25" s="105"/>
      <c r="W25" s="105"/>
      <c r="X25" s="105"/>
      <c r="Y25" s="105"/>
      <c r="Z25" s="105"/>
      <c r="AA25" s="105"/>
      <c r="AB25" s="105"/>
      <c r="AC25" s="105"/>
      <c r="AD25" s="105"/>
      <c r="AE25" s="105"/>
      <c r="AF25" s="105"/>
      <c r="AG25" s="105"/>
      <c r="AH25" s="105"/>
      <c r="AI25" s="105"/>
      <c r="AJ25" s="105"/>
      <c r="AK25" s="105"/>
      <c r="AL25" s="97"/>
      <c r="AM25" s="60">
        <f t="shared" si="12"/>
        <v>0</v>
      </c>
      <c r="AN25" s="61">
        <f t="shared" si="13"/>
        <v>0</v>
      </c>
      <c r="AO25" s="61">
        <f t="shared" si="14"/>
        <v>0</v>
      </c>
      <c r="AP25" s="61"/>
      <c r="AQ25" s="61"/>
      <c r="AR25" s="61"/>
      <c r="AS25" s="61">
        <f t="shared" si="15"/>
        <v>0</v>
      </c>
      <c r="AT25" s="105"/>
      <c r="AU25" s="105"/>
      <c r="AV25" s="61">
        <f t="shared" si="21"/>
        <v>0</v>
      </c>
      <c r="AW25" s="61">
        <f t="shared" si="4"/>
        <v>0</v>
      </c>
      <c r="AX25" s="61">
        <f t="shared" si="5"/>
        <v>23</v>
      </c>
      <c r="AY25" s="61">
        <f t="shared" si="6"/>
        <v>0</v>
      </c>
      <c r="AZ25" s="61">
        <f t="shared" si="7"/>
        <v>0</v>
      </c>
      <c r="BA25" s="61">
        <f t="shared" si="8"/>
        <v>0</v>
      </c>
      <c r="BB25" s="61">
        <f t="shared" si="11"/>
        <v>0</v>
      </c>
      <c r="BC25" s="105"/>
      <c r="BD25" s="62">
        <f t="shared" si="9"/>
        <v>0</v>
      </c>
      <c r="BE25" s="105"/>
      <c r="BF25" s="117" t="s">
        <v>159</v>
      </c>
    </row>
    <row r="26" spans="1:58">
      <c r="A26" s="59">
        <v>20</v>
      </c>
      <c r="B26" s="103"/>
      <c r="C26" s="104"/>
      <c r="D26" s="105"/>
      <c r="E26" s="104"/>
      <c r="F26" s="106"/>
      <c r="G26" s="107"/>
      <c r="H26" s="105"/>
      <c r="I26" s="105"/>
      <c r="J26" s="105"/>
      <c r="K26" s="105"/>
      <c r="L26" s="105"/>
      <c r="M26" s="105"/>
      <c r="N26" s="105"/>
      <c r="O26" s="105"/>
      <c r="P26" s="105"/>
      <c r="Q26" s="105"/>
      <c r="R26" s="105"/>
      <c r="S26" s="105"/>
      <c r="T26" s="105"/>
      <c r="U26" s="105"/>
      <c r="V26" s="105"/>
      <c r="W26" s="105"/>
      <c r="X26" s="105"/>
      <c r="Y26" s="105"/>
      <c r="Z26" s="105"/>
      <c r="AA26" s="105"/>
      <c r="AB26" s="105"/>
      <c r="AC26" s="105"/>
      <c r="AD26" s="105"/>
      <c r="AE26" s="105"/>
      <c r="AF26" s="105"/>
      <c r="AG26" s="105"/>
      <c r="AH26" s="105"/>
      <c r="AI26" s="105"/>
      <c r="AJ26" s="105"/>
      <c r="AK26" s="105"/>
      <c r="AL26" s="97"/>
      <c r="AM26" s="60">
        <f t="shared" si="12"/>
        <v>0</v>
      </c>
      <c r="AN26" s="61">
        <f t="shared" si="13"/>
        <v>0</v>
      </c>
      <c r="AO26" s="61">
        <f t="shared" si="14"/>
        <v>0</v>
      </c>
      <c r="AP26" s="61"/>
      <c r="AQ26" s="61"/>
      <c r="AR26" s="61"/>
      <c r="AS26" s="61">
        <f t="shared" si="15"/>
        <v>0</v>
      </c>
      <c r="AT26" s="105"/>
      <c r="AU26" s="105"/>
      <c r="AV26" s="61">
        <f t="shared" si="21"/>
        <v>0</v>
      </c>
      <c r="AW26" s="61">
        <f t="shared" si="4"/>
        <v>0</v>
      </c>
      <c r="AX26" s="61">
        <f t="shared" si="5"/>
        <v>23</v>
      </c>
      <c r="AY26" s="61">
        <f t="shared" si="6"/>
        <v>0</v>
      </c>
      <c r="AZ26" s="61">
        <f t="shared" si="7"/>
        <v>0</v>
      </c>
      <c r="BA26" s="61">
        <f t="shared" si="8"/>
        <v>0</v>
      </c>
      <c r="BB26" s="61">
        <f t="shared" si="11"/>
        <v>0</v>
      </c>
      <c r="BC26" s="105"/>
      <c r="BD26" s="62">
        <f t="shared" si="9"/>
        <v>0</v>
      </c>
      <c r="BE26" s="105"/>
      <c r="BF26" s="117" t="s">
        <v>159</v>
      </c>
    </row>
    <row r="27" spans="1:58">
      <c r="A27" s="59">
        <v>21</v>
      </c>
      <c r="B27" s="103"/>
      <c r="C27" s="104"/>
      <c r="D27" s="105"/>
      <c r="E27" s="104"/>
      <c r="F27" s="106"/>
      <c r="G27" s="107"/>
      <c r="H27" s="105"/>
      <c r="I27" s="105"/>
      <c r="J27" s="105"/>
      <c r="K27" s="105"/>
      <c r="L27" s="105"/>
      <c r="M27" s="105"/>
      <c r="N27" s="105"/>
      <c r="O27" s="105"/>
      <c r="P27" s="105"/>
      <c r="Q27" s="105"/>
      <c r="R27" s="105"/>
      <c r="S27" s="105"/>
      <c r="T27" s="105"/>
      <c r="U27" s="105"/>
      <c r="V27" s="105"/>
      <c r="W27" s="105"/>
      <c r="X27" s="105"/>
      <c r="Y27" s="105"/>
      <c r="Z27" s="105"/>
      <c r="AA27" s="105"/>
      <c r="AB27" s="105"/>
      <c r="AC27" s="105"/>
      <c r="AD27" s="105"/>
      <c r="AE27" s="105"/>
      <c r="AF27" s="105"/>
      <c r="AG27" s="105"/>
      <c r="AH27" s="105"/>
      <c r="AI27" s="105"/>
      <c r="AJ27" s="105"/>
      <c r="AK27" s="105"/>
      <c r="AL27" s="97"/>
      <c r="AM27" s="60">
        <f t="shared" si="12"/>
        <v>0</v>
      </c>
      <c r="AN27" s="61">
        <f t="shared" si="13"/>
        <v>0</v>
      </c>
      <c r="AO27" s="61">
        <f t="shared" si="14"/>
        <v>0</v>
      </c>
      <c r="AP27" s="61"/>
      <c r="AQ27" s="61"/>
      <c r="AR27" s="61"/>
      <c r="AS27" s="61">
        <f t="shared" si="15"/>
        <v>0</v>
      </c>
      <c r="AT27" s="105"/>
      <c r="AU27" s="105"/>
      <c r="AV27" s="61">
        <f t="shared" si="21"/>
        <v>0</v>
      </c>
      <c r="AW27" s="61">
        <f t="shared" si="4"/>
        <v>0</v>
      </c>
      <c r="AX27" s="61">
        <f t="shared" si="5"/>
        <v>23</v>
      </c>
      <c r="AY27" s="61">
        <f t="shared" si="6"/>
        <v>0</v>
      </c>
      <c r="AZ27" s="61">
        <f t="shared" si="7"/>
        <v>0</v>
      </c>
      <c r="BA27" s="61">
        <f t="shared" si="8"/>
        <v>0</v>
      </c>
      <c r="BB27" s="61">
        <f t="shared" si="11"/>
        <v>0</v>
      </c>
      <c r="BC27" s="105"/>
      <c r="BD27" s="62">
        <f t="shared" si="9"/>
        <v>0</v>
      </c>
      <c r="BE27" s="105"/>
      <c r="BF27" s="117" t="s">
        <v>159</v>
      </c>
    </row>
    <row r="28" spans="1:58">
      <c r="A28" s="59">
        <v>22</v>
      </c>
      <c r="B28" s="103"/>
      <c r="C28" s="104"/>
      <c r="D28" s="105"/>
      <c r="E28" s="104"/>
      <c r="F28" s="106"/>
      <c r="G28" s="107"/>
      <c r="H28" s="105"/>
      <c r="I28" s="105"/>
      <c r="J28" s="105"/>
      <c r="K28" s="105"/>
      <c r="L28" s="105"/>
      <c r="M28" s="105"/>
      <c r="N28" s="105"/>
      <c r="O28" s="105"/>
      <c r="P28" s="105"/>
      <c r="Q28" s="105"/>
      <c r="R28" s="105"/>
      <c r="S28" s="105"/>
      <c r="T28" s="105"/>
      <c r="U28" s="105"/>
      <c r="V28" s="105"/>
      <c r="W28" s="105"/>
      <c r="X28" s="105"/>
      <c r="Y28" s="105"/>
      <c r="Z28" s="105"/>
      <c r="AA28" s="105"/>
      <c r="AB28" s="105"/>
      <c r="AC28" s="105"/>
      <c r="AD28" s="105"/>
      <c r="AE28" s="105"/>
      <c r="AF28" s="105"/>
      <c r="AG28" s="105"/>
      <c r="AH28" s="105"/>
      <c r="AI28" s="105"/>
      <c r="AJ28" s="105"/>
      <c r="AK28" s="105"/>
      <c r="AL28" s="97"/>
      <c r="AM28" s="60">
        <f t="shared" si="12"/>
        <v>0</v>
      </c>
      <c r="AN28" s="61">
        <f t="shared" si="13"/>
        <v>0</v>
      </c>
      <c r="AO28" s="61">
        <f t="shared" si="14"/>
        <v>0</v>
      </c>
      <c r="AP28" s="61"/>
      <c r="AQ28" s="61"/>
      <c r="AR28" s="61"/>
      <c r="AS28" s="61">
        <f t="shared" si="15"/>
        <v>0</v>
      </c>
      <c r="AT28" s="105"/>
      <c r="AU28" s="105"/>
      <c r="AV28" s="61">
        <f t="shared" si="21"/>
        <v>0</v>
      </c>
      <c r="AW28" s="61">
        <f t="shared" si="4"/>
        <v>0</v>
      </c>
      <c r="AX28" s="61">
        <f t="shared" si="5"/>
        <v>23</v>
      </c>
      <c r="AY28" s="61">
        <f t="shared" si="6"/>
        <v>0</v>
      </c>
      <c r="AZ28" s="61">
        <f t="shared" si="7"/>
        <v>0</v>
      </c>
      <c r="BA28" s="61">
        <f t="shared" si="8"/>
        <v>0</v>
      </c>
      <c r="BB28" s="61">
        <f t="shared" si="11"/>
        <v>0</v>
      </c>
      <c r="BC28" s="105"/>
      <c r="BD28" s="62">
        <f t="shared" si="9"/>
        <v>0</v>
      </c>
      <c r="BE28" s="105"/>
      <c r="BF28" s="117" t="s">
        <v>159</v>
      </c>
    </row>
    <row r="29" spans="1:58">
      <c r="A29" s="59">
        <v>23</v>
      </c>
      <c r="B29" s="103"/>
      <c r="C29" s="104"/>
      <c r="D29" s="105"/>
      <c r="E29" s="104"/>
      <c r="F29" s="106"/>
      <c r="G29" s="107"/>
      <c r="H29" s="105"/>
      <c r="I29" s="105"/>
      <c r="J29" s="105"/>
      <c r="K29" s="105"/>
      <c r="L29" s="105"/>
      <c r="M29" s="105"/>
      <c r="N29" s="105"/>
      <c r="O29" s="105"/>
      <c r="P29" s="105"/>
      <c r="Q29" s="105"/>
      <c r="R29" s="105"/>
      <c r="S29" s="105"/>
      <c r="T29" s="105"/>
      <c r="U29" s="105"/>
      <c r="V29" s="105"/>
      <c r="W29" s="105"/>
      <c r="X29" s="105"/>
      <c r="Y29" s="105"/>
      <c r="Z29" s="105"/>
      <c r="AA29" s="105"/>
      <c r="AB29" s="105"/>
      <c r="AC29" s="105"/>
      <c r="AD29" s="105"/>
      <c r="AE29" s="105"/>
      <c r="AF29" s="105"/>
      <c r="AG29" s="105"/>
      <c r="AH29" s="105"/>
      <c r="AI29" s="105"/>
      <c r="AJ29" s="105"/>
      <c r="AK29" s="105"/>
      <c r="AL29" s="97"/>
      <c r="AM29" s="60">
        <f t="shared" si="12"/>
        <v>0</v>
      </c>
      <c r="AN29" s="61">
        <f t="shared" si="13"/>
        <v>0</v>
      </c>
      <c r="AO29" s="61">
        <f t="shared" si="14"/>
        <v>0</v>
      </c>
      <c r="AP29" s="61"/>
      <c r="AQ29" s="61"/>
      <c r="AR29" s="61"/>
      <c r="AS29" s="61">
        <f t="shared" si="15"/>
        <v>0</v>
      </c>
      <c r="AT29" s="105"/>
      <c r="AU29" s="105"/>
      <c r="AV29" s="61">
        <f t="shared" si="21"/>
        <v>0</v>
      </c>
      <c r="AW29" s="61">
        <f t="shared" si="4"/>
        <v>0</v>
      </c>
      <c r="AX29" s="61">
        <f t="shared" si="5"/>
        <v>23</v>
      </c>
      <c r="AY29" s="61">
        <f t="shared" si="6"/>
        <v>0</v>
      </c>
      <c r="AZ29" s="61">
        <f t="shared" si="7"/>
        <v>0</v>
      </c>
      <c r="BA29" s="61">
        <f t="shared" si="8"/>
        <v>0</v>
      </c>
      <c r="BB29" s="61">
        <f t="shared" si="11"/>
        <v>0</v>
      </c>
      <c r="BC29" s="105"/>
      <c r="BD29" s="62">
        <f t="shared" si="9"/>
        <v>0</v>
      </c>
      <c r="BE29" s="105"/>
      <c r="BF29" s="117" t="s">
        <v>159</v>
      </c>
    </row>
    <row r="30" spans="1:58">
      <c r="A30" s="59">
        <v>24</v>
      </c>
      <c r="B30" s="103"/>
      <c r="C30" s="104"/>
      <c r="D30" s="105"/>
      <c r="E30" s="104"/>
      <c r="F30" s="106"/>
      <c r="G30" s="107"/>
      <c r="H30" s="105"/>
      <c r="I30" s="105"/>
      <c r="J30" s="105"/>
      <c r="K30" s="105"/>
      <c r="L30" s="105"/>
      <c r="M30" s="105"/>
      <c r="N30" s="105"/>
      <c r="O30" s="105"/>
      <c r="P30" s="105"/>
      <c r="Q30" s="105"/>
      <c r="R30" s="105"/>
      <c r="S30" s="105"/>
      <c r="T30" s="105"/>
      <c r="U30" s="105"/>
      <c r="V30" s="105"/>
      <c r="W30" s="105"/>
      <c r="X30" s="105"/>
      <c r="Y30" s="105"/>
      <c r="Z30" s="105"/>
      <c r="AA30" s="105"/>
      <c r="AB30" s="105"/>
      <c r="AC30" s="105"/>
      <c r="AD30" s="105"/>
      <c r="AE30" s="105"/>
      <c r="AF30" s="105"/>
      <c r="AG30" s="105"/>
      <c r="AH30" s="105"/>
      <c r="AI30" s="105"/>
      <c r="AJ30" s="105"/>
      <c r="AK30" s="105"/>
      <c r="AL30" s="97"/>
      <c r="AM30" s="60">
        <f t="shared" si="12"/>
        <v>0</v>
      </c>
      <c r="AN30" s="61">
        <f t="shared" si="13"/>
        <v>0</v>
      </c>
      <c r="AO30" s="61">
        <f t="shared" si="14"/>
        <v>0</v>
      </c>
      <c r="AP30" s="61"/>
      <c r="AQ30" s="61"/>
      <c r="AR30" s="61"/>
      <c r="AS30" s="61">
        <f t="shared" si="15"/>
        <v>0</v>
      </c>
      <c r="AT30" s="105"/>
      <c r="AU30" s="105"/>
      <c r="AV30" s="61">
        <f t="shared" si="21"/>
        <v>0</v>
      </c>
      <c r="AW30" s="61">
        <f t="shared" si="4"/>
        <v>0</v>
      </c>
      <c r="AX30" s="61">
        <f t="shared" si="5"/>
        <v>23</v>
      </c>
      <c r="AY30" s="61">
        <f t="shared" si="6"/>
        <v>0</v>
      </c>
      <c r="AZ30" s="61">
        <f t="shared" si="7"/>
        <v>0</v>
      </c>
      <c r="BA30" s="61">
        <f t="shared" si="8"/>
        <v>0</v>
      </c>
      <c r="BB30" s="61">
        <f t="shared" si="11"/>
        <v>0</v>
      </c>
      <c r="BC30" s="105"/>
      <c r="BD30" s="62">
        <f t="shared" si="9"/>
        <v>0</v>
      </c>
      <c r="BE30" s="105"/>
      <c r="BF30" s="117" t="s">
        <v>159</v>
      </c>
    </row>
    <row r="31" spans="1:58">
      <c r="A31" s="59">
        <v>25</v>
      </c>
      <c r="B31" s="103"/>
      <c r="C31" s="104"/>
      <c r="D31" s="105"/>
      <c r="E31" s="104"/>
      <c r="F31" s="106"/>
      <c r="G31" s="107"/>
      <c r="H31" s="105"/>
      <c r="I31" s="105"/>
      <c r="J31" s="105"/>
      <c r="K31" s="105"/>
      <c r="L31" s="105"/>
      <c r="M31" s="105"/>
      <c r="N31" s="105"/>
      <c r="O31" s="105"/>
      <c r="P31" s="105"/>
      <c r="Q31" s="105"/>
      <c r="R31" s="105"/>
      <c r="S31" s="105"/>
      <c r="T31" s="105"/>
      <c r="U31" s="105"/>
      <c r="V31" s="105"/>
      <c r="W31" s="105"/>
      <c r="X31" s="105"/>
      <c r="Y31" s="105"/>
      <c r="Z31" s="105"/>
      <c r="AA31" s="105"/>
      <c r="AB31" s="105"/>
      <c r="AC31" s="105"/>
      <c r="AD31" s="105"/>
      <c r="AE31" s="105"/>
      <c r="AF31" s="105"/>
      <c r="AG31" s="105"/>
      <c r="AH31" s="105"/>
      <c r="AI31" s="105"/>
      <c r="AJ31" s="105"/>
      <c r="AK31" s="105"/>
      <c r="AL31" s="97"/>
      <c r="AM31" s="60">
        <f t="shared" si="12"/>
        <v>0</v>
      </c>
      <c r="AN31" s="61">
        <f t="shared" si="13"/>
        <v>0</v>
      </c>
      <c r="AO31" s="61">
        <f t="shared" si="14"/>
        <v>0</v>
      </c>
      <c r="AP31" s="61"/>
      <c r="AQ31" s="61"/>
      <c r="AR31" s="61"/>
      <c r="AS31" s="61">
        <f t="shared" si="15"/>
        <v>0</v>
      </c>
      <c r="AT31" s="105"/>
      <c r="AU31" s="105"/>
      <c r="AV31" s="61">
        <f t="shared" si="21"/>
        <v>0</v>
      </c>
      <c r="AW31" s="61">
        <f t="shared" si="4"/>
        <v>0</v>
      </c>
      <c r="AX31" s="61">
        <f t="shared" si="5"/>
        <v>23</v>
      </c>
      <c r="AY31" s="61">
        <f t="shared" si="6"/>
        <v>0</v>
      </c>
      <c r="AZ31" s="61">
        <f t="shared" si="7"/>
        <v>0</v>
      </c>
      <c r="BA31" s="61">
        <f t="shared" si="8"/>
        <v>0</v>
      </c>
      <c r="BB31" s="61">
        <f t="shared" si="11"/>
        <v>0</v>
      </c>
      <c r="BC31" s="105"/>
      <c r="BD31" s="62">
        <f t="shared" si="9"/>
        <v>0</v>
      </c>
      <c r="BE31" s="105"/>
      <c r="BF31" s="117" t="s">
        <v>159</v>
      </c>
    </row>
    <row r="32" spans="1:58">
      <c r="A32" s="59">
        <v>26</v>
      </c>
      <c r="B32" s="103"/>
      <c r="C32" s="104"/>
      <c r="D32" s="105"/>
      <c r="E32" s="104"/>
      <c r="F32" s="106"/>
      <c r="G32" s="107"/>
      <c r="H32" s="105"/>
      <c r="I32" s="105"/>
      <c r="J32" s="105"/>
      <c r="K32" s="105"/>
      <c r="L32" s="105"/>
      <c r="M32" s="105"/>
      <c r="N32" s="105"/>
      <c r="O32" s="105"/>
      <c r="P32" s="105"/>
      <c r="Q32" s="105"/>
      <c r="R32" s="105"/>
      <c r="S32" s="105"/>
      <c r="T32" s="105"/>
      <c r="U32" s="105"/>
      <c r="V32" s="105"/>
      <c r="W32" s="105"/>
      <c r="X32" s="105"/>
      <c r="Y32" s="105"/>
      <c r="Z32" s="105"/>
      <c r="AA32" s="105"/>
      <c r="AB32" s="105"/>
      <c r="AC32" s="105"/>
      <c r="AD32" s="105"/>
      <c r="AE32" s="105"/>
      <c r="AF32" s="105"/>
      <c r="AG32" s="105"/>
      <c r="AH32" s="105"/>
      <c r="AI32" s="105"/>
      <c r="AJ32" s="105"/>
      <c r="AK32" s="105"/>
      <c r="AL32" s="97"/>
      <c r="AM32" s="60">
        <f t="shared" si="12"/>
        <v>0</v>
      </c>
      <c r="AN32" s="61">
        <f t="shared" si="13"/>
        <v>0</v>
      </c>
      <c r="AO32" s="61">
        <f t="shared" si="14"/>
        <v>0</v>
      </c>
      <c r="AP32" s="61"/>
      <c r="AQ32" s="61"/>
      <c r="AR32" s="61"/>
      <c r="AS32" s="61">
        <f t="shared" si="15"/>
        <v>0</v>
      </c>
      <c r="AT32" s="105"/>
      <c r="AU32" s="105"/>
      <c r="AV32" s="61">
        <f t="shared" si="21"/>
        <v>0</v>
      </c>
      <c r="AW32" s="61">
        <f t="shared" si="4"/>
        <v>0</v>
      </c>
      <c r="AX32" s="61">
        <f t="shared" si="5"/>
        <v>23</v>
      </c>
      <c r="AY32" s="61">
        <f t="shared" si="6"/>
        <v>0</v>
      </c>
      <c r="AZ32" s="61">
        <f t="shared" si="7"/>
        <v>0</v>
      </c>
      <c r="BA32" s="61">
        <f t="shared" si="8"/>
        <v>0</v>
      </c>
      <c r="BB32" s="61">
        <f t="shared" si="11"/>
        <v>0</v>
      </c>
      <c r="BC32" s="105"/>
      <c r="BD32" s="62">
        <f t="shared" si="9"/>
        <v>0</v>
      </c>
      <c r="BE32" s="105"/>
      <c r="BF32" s="117" t="s">
        <v>159</v>
      </c>
    </row>
    <row r="33" spans="1:58">
      <c r="A33" s="59">
        <v>27</v>
      </c>
      <c r="B33" s="103"/>
      <c r="C33" s="104"/>
      <c r="D33" s="105"/>
      <c r="E33" s="104"/>
      <c r="F33" s="106"/>
      <c r="G33" s="107"/>
      <c r="H33" s="105"/>
      <c r="I33" s="105"/>
      <c r="J33" s="105"/>
      <c r="K33" s="105"/>
      <c r="L33" s="105"/>
      <c r="M33" s="105"/>
      <c r="N33" s="105"/>
      <c r="O33" s="105"/>
      <c r="P33" s="105"/>
      <c r="Q33" s="105"/>
      <c r="R33" s="105"/>
      <c r="S33" s="105"/>
      <c r="T33" s="105"/>
      <c r="U33" s="105"/>
      <c r="V33" s="105"/>
      <c r="W33" s="105"/>
      <c r="X33" s="105"/>
      <c r="Y33" s="105"/>
      <c r="Z33" s="105"/>
      <c r="AA33" s="105"/>
      <c r="AB33" s="105"/>
      <c r="AC33" s="105"/>
      <c r="AD33" s="105"/>
      <c r="AE33" s="105"/>
      <c r="AF33" s="105"/>
      <c r="AG33" s="105"/>
      <c r="AH33" s="105"/>
      <c r="AI33" s="105"/>
      <c r="AJ33" s="105"/>
      <c r="AK33" s="105"/>
      <c r="AL33" s="97"/>
      <c r="AM33" s="60">
        <f t="shared" si="12"/>
        <v>0</v>
      </c>
      <c r="AN33" s="61">
        <f t="shared" si="13"/>
        <v>0</v>
      </c>
      <c r="AO33" s="61">
        <f t="shared" si="14"/>
        <v>0</v>
      </c>
      <c r="AP33" s="61"/>
      <c r="AQ33" s="61"/>
      <c r="AR33" s="61"/>
      <c r="AS33" s="61">
        <f t="shared" si="15"/>
        <v>0</v>
      </c>
      <c r="AT33" s="105"/>
      <c r="AU33" s="105"/>
      <c r="AV33" s="61">
        <f t="shared" si="21"/>
        <v>0</v>
      </c>
      <c r="AW33" s="61">
        <f t="shared" si="4"/>
        <v>0</v>
      </c>
      <c r="AX33" s="61">
        <f t="shared" si="5"/>
        <v>23</v>
      </c>
      <c r="AY33" s="61">
        <f t="shared" si="6"/>
        <v>0</v>
      </c>
      <c r="AZ33" s="61">
        <f t="shared" si="7"/>
        <v>0</v>
      </c>
      <c r="BA33" s="61">
        <f t="shared" si="8"/>
        <v>0</v>
      </c>
      <c r="BB33" s="61">
        <f t="shared" si="11"/>
        <v>0</v>
      </c>
      <c r="BC33" s="105"/>
      <c r="BD33" s="62">
        <f t="shared" si="9"/>
        <v>0</v>
      </c>
      <c r="BE33" s="105"/>
      <c r="BF33" s="117" t="s">
        <v>159</v>
      </c>
    </row>
    <row r="34" spans="1:58">
      <c r="A34" s="59">
        <v>28</v>
      </c>
      <c r="B34" s="103"/>
      <c r="C34" s="104"/>
      <c r="D34" s="105"/>
      <c r="E34" s="104"/>
      <c r="F34" s="106"/>
      <c r="G34" s="107"/>
      <c r="H34" s="105"/>
      <c r="I34" s="105"/>
      <c r="J34" s="105"/>
      <c r="K34" s="105"/>
      <c r="L34" s="105"/>
      <c r="M34" s="105"/>
      <c r="N34" s="105"/>
      <c r="O34" s="105"/>
      <c r="P34" s="105"/>
      <c r="Q34" s="105"/>
      <c r="R34" s="105"/>
      <c r="S34" s="105"/>
      <c r="T34" s="105"/>
      <c r="U34" s="105"/>
      <c r="V34" s="105"/>
      <c r="W34" s="105"/>
      <c r="X34" s="105"/>
      <c r="Y34" s="105"/>
      <c r="Z34" s="105"/>
      <c r="AA34" s="105"/>
      <c r="AB34" s="105"/>
      <c r="AC34" s="105"/>
      <c r="AD34" s="105"/>
      <c r="AE34" s="105"/>
      <c r="AF34" s="105"/>
      <c r="AG34" s="105"/>
      <c r="AH34" s="105"/>
      <c r="AI34" s="105"/>
      <c r="AJ34" s="105"/>
      <c r="AK34" s="105"/>
      <c r="AL34" s="97"/>
      <c r="AM34" s="60">
        <f t="shared" si="12"/>
        <v>0</v>
      </c>
      <c r="AN34" s="61">
        <f t="shared" si="13"/>
        <v>0</v>
      </c>
      <c r="AO34" s="61">
        <f t="shared" si="14"/>
        <v>0</v>
      </c>
      <c r="AP34" s="61"/>
      <c r="AQ34" s="61"/>
      <c r="AR34" s="61"/>
      <c r="AS34" s="61">
        <f t="shared" si="15"/>
        <v>0</v>
      </c>
      <c r="AT34" s="105"/>
      <c r="AU34" s="105"/>
      <c r="AV34" s="61">
        <f t="shared" si="21"/>
        <v>0</v>
      </c>
      <c r="AW34" s="61">
        <f t="shared" si="4"/>
        <v>0</v>
      </c>
      <c r="AX34" s="61">
        <f t="shared" si="5"/>
        <v>23</v>
      </c>
      <c r="AY34" s="61">
        <f t="shared" si="6"/>
        <v>0</v>
      </c>
      <c r="AZ34" s="61">
        <f t="shared" si="7"/>
        <v>0</v>
      </c>
      <c r="BA34" s="61">
        <f t="shared" si="8"/>
        <v>0</v>
      </c>
      <c r="BB34" s="61">
        <f t="shared" si="11"/>
        <v>0</v>
      </c>
      <c r="BC34" s="105"/>
      <c r="BD34" s="62">
        <f t="shared" si="9"/>
        <v>0</v>
      </c>
      <c r="BE34" s="105"/>
      <c r="BF34" s="117" t="s">
        <v>159</v>
      </c>
    </row>
    <row r="35" spans="1:58">
      <c r="A35" s="59">
        <v>29</v>
      </c>
      <c r="B35" s="103"/>
      <c r="C35" s="104"/>
      <c r="D35" s="105"/>
      <c r="E35" s="104"/>
      <c r="F35" s="106"/>
      <c r="G35" s="107"/>
      <c r="H35" s="105"/>
      <c r="I35" s="105"/>
      <c r="J35" s="105"/>
      <c r="K35" s="105"/>
      <c r="L35" s="105"/>
      <c r="M35" s="105"/>
      <c r="N35" s="105"/>
      <c r="O35" s="105"/>
      <c r="P35" s="105"/>
      <c r="Q35" s="105"/>
      <c r="R35" s="105"/>
      <c r="S35" s="105"/>
      <c r="T35" s="105"/>
      <c r="U35" s="105"/>
      <c r="V35" s="105"/>
      <c r="W35" s="105"/>
      <c r="X35" s="105"/>
      <c r="Y35" s="105"/>
      <c r="Z35" s="105"/>
      <c r="AA35" s="105"/>
      <c r="AB35" s="105"/>
      <c r="AC35" s="105"/>
      <c r="AD35" s="105"/>
      <c r="AE35" s="105"/>
      <c r="AF35" s="105"/>
      <c r="AG35" s="105"/>
      <c r="AH35" s="105"/>
      <c r="AI35" s="105"/>
      <c r="AJ35" s="105"/>
      <c r="AK35" s="105"/>
      <c r="AL35" s="97"/>
      <c r="AM35" s="60">
        <f t="shared" si="12"/>
        <v>0</v>
      </c>
      <c r="AN35" s="61">
        <f t="shared" si="13"/>
        <v>0</v>
      </c>
      <c r="AO35" s="61">
        <f t="shared" si="14"/>
        <v>0</v>
      </c>
      <c r="AP35" s="61"/>
      <c r="AQ35" s="61"/>
      <c r="AR35" s="61"/>
      <c r="AS35" s="61">
        <f t="shared" si="15"/>
        <v>0</v>
      </c>
      <c r="AT35" s="105"/>
      <c r="AU35" s="105"/>
      <c r="AV35" s="61">
        <f t="shared" si="21"/>
        <v>0</v>
      </c>
      <c r="AW35" s="61">
        <f t="shared" si="4"/>
        <v>0</v>
      </c>
      <c r="AX35" s="61">
        <f t="shared" si="5"/>
        <v>23</v>
      </c>
      <c r="AY35" s="61">
        <f t="shared" si="6"/>
        <v>0</v>
      </c>
      <c r="AZ35" s="61">
        <f t="shared" si="7"/>
        <v>0</v>
      </c>
      <c r="BA35" s="61">
        <f t="shared" si="8"/>
        <v>0</v>
      </c>
      <c r="BB35" s="61">
        <f t="shared" si="11"/>
        <v>0</v>
      </c>
      <c r="BC35" s="105"/>
      <c r="BD35" s="62">
        <f t="shared" si="9"/>
        <v>0</v>
      </c>
      <c r="BE35" s="105"/>
      <c r="BF35" s="117" t="s">
        <v>159</v>
      </c>
    </row>
    <row r="36" spans="1:58">
      <c r="A36" s="59">
        <v>30</v>
      </c>
      <c r="B36" s="103"/>
      <c r="C36" s="104"/>
      <c r="D36" s="105"/>
      <c r="E36" s="104"/>
      <c r="F36" s="106"/>
      <c r="G36" s="107"/>
      <c r="H36" s="105"/>
      <c r="I36" s="105"/>
      <c r="J36" s="105"/>
      <c r="K36" s="105"/>
      <c r="L36" s="105"/>
      <c r="M36" s="105"/>
      <c r="N36" s="105"/>
      <c r="O36" s="105"/>
      <c r="P36" s="105"/>
      <c r="Q36" s="105"/>
      <c r="R36" s="105"/>
      <c r="S36" s="105"/>
      <c r="T36" s="105"/>
      <c r="U36" s="105"/>
      <c r="V36" s="105"/>
      <c r="W36" s="105"/>
      <c r="X36" s="105"/>
      <c r="Y36" s="105"/>
      <c r="Z36" s="105"/>
      <c r="AA36" s="105"/>
      <c r="AB36" s="105"/>
      <c r="AC36" s="105"/>
      <c r="AD36" s="105"/>
      <c r="AE36" s="105"/>
      <c r="AF36" s="105"/>
      <c r="AG36" s="105"/>
      <c r="AH36" s="105"/>
      <c r="AI36" s="105"/>
      <c r="AJ36" s="105"/>
      <c r="AK36" s="105"/>
      <c r="AL36" s="97"/>
      <c r="AM36" s="60">
        <f t="shared" si="12"/>
        <v>0</v>
      </c>
      <c r="AN36" s="61">
        <f t="shared" si="13"/>
        <v>0</v>
      </c>
      <c r="AO36" s="61">
        <f t="shared" si="14"/>
        <v>0</v>
      </c>
      <c r="AP36" s="61"/>
      <c r="AQ36" s="61"/>
      <c r="AR36" s="61"/>
      <c r="AS36" s="61">
        <f t="shared" si="15"/>
        <v>0</v>
      </c>
      <c r="AT36" s="105"/>
      <c r="AU36" s="105"/>
      <c r="AV36" s="61">
        <f t="shared" si="21"/>
        <v>0</v>
      </c>
      <c r="AW36" s="61">
        <f t="shared" si="4"/>
        <v>0</v>
      </c>
      <c r="AX36" s="61">
        <f t="shared" si="5"/>
        <v>23</v>
      </c>
      <c r="AY36" s="61">
        <f t="shared" si="6"/>
        <v>0</v>
      </c>
      <c r="AZ36" s="61">
        <f t="shared" si="7"/>
        <v>0</v>
      </c>
      <c r="BA36" s="61">
        <f t="shared" si="8"/>
        <v>0</v>
      </c>
      <c r="BB36" s="61">
        <f t="shared" si="11"/>
        <v>0</v>
      </c>
      <c r="BC36" s="105"/>
      <c r="BD36" s="62">
        <f t="shared" si="9"/>
        <v>0</v>
      </c>
      <c r="BE36" s="105"/>
      <c r="BF36" s="117" t="s">
        <v>159</v>
      </c>
    </row>
    <row r="48" spans="1:58">
      <c r="O48" s="11"/>
      <c r="P48" s="11"/>
      <c r="Q48" s="11"/>
      <c r="R48" s="11"/>
      <c r="S48" s="11"/>
      <c r="T48" s="11"/>
    </row>
    <row r="52" spans="15:17">
      <c r="O52" s="63"/>
    </row>
    <row r="53" spans="15:17">
      <c r="Q53" s="63"/>
    </row>
  </sheetData>
  <sheetProtection algorithmName="SHA-512" hashValue="mhHj/ofBvXagG7FElirppx1cdZsslg/DGXucVHdJ/0nvi7tl1yElsVJA8MirbE5mBSxSp3+QUOMJZTd67pFfow==" saltValue="gMFwN7t/irLVD0ppwbDrcA==" spinCount="100000" sheet="1" insertRows="0" autoFilter="0"/>
  <autoFilter ref="A5:BF5" xr:uid="{8C328EB6-DBB9-4E5A-B5B0-009CDA750438}"/>
  <mergeCells count="2">
    <mergeCell ref="A2:B2"/>
    <mergeCell ref="G2:AL2"/>
  </mergeCells>
  <conditionalFormatting sqref="G5:AL5">
    <cfRule type="containsText" dxfId="54" priority="8" operator="containsText" text="RH">
      <formula>NOT(ISERROR(SEARCH("RH",G5)))</formula>
    </cfRule>
  </conditionalFormatting>
  <conditionalFormatting sqref="G6:AL6">
    <cfRule type="expression" dxfId="53" priority="7">
      <formula>$G$4:$AL$4=""</formula>
    </cfRule>
  </conditionalFormatting>
  <conditionalFormatting sqref="G4:AL4">
    <cfRule type="expression" dxfId="52" priority="6">
      <formula>$G$4:$AL$4&gt;"$D$2"</formula>
    </cfRule>
  </conditionalFormatting>
  <conditionalFormatting sqref="AI4">
    <cfRule type="expression" dxfId="51" priority="5">
      <formula>$AI$4&gt;$D$2</formula>
    </cfRule>
  </conditionalFormatting>
  <conditionalFormatting sqref="AJ4">
    <cfRule type="expression" dxfId="50" priority="4">
      <formula>$AJ$4&gt;$D$2</formula>
    </cfRule>
  </conditionalFormatting>
  <conditionalFormatting sqref="AK4">
    <cfRule type="expression" dxfId="49" priority="3">
      <formula>$AK$4&gt;$D$2</formula>
    </cfRule>
  </conditionalFormatting>
  <conditionalFormatting sqref="AL4">
    <cfRule type="expression" dxfId="48" priority="2">
      <formula>$AL$4&gt;$D$2</formula>
    </cfRule>
  </conditionalFormatting>
  <conditionalFormatting sqref="G7:AL36">
    <cfRule type="expression" dxfId="47" priority="1">
      <formula>$G$4:$AL$4=""</formula>
    </cfRule>
  </conditionalFormatting>
  <dataValidations count="2">
    <dataValidation type="list" allowBlank="1" showInputMessage="1" showErrorMessage="1" sqref="G6:AL36" xr:uid="{EEC22B97-025B-4BA0-BD37-21046875CF20}">
      <formula1>Prod_BACH</formula1>
    </dataValidation>
    <dataValidation type="list" allowBlank="1" showInputMessage="1" showErrorMessage="1" sqref="C2" xr:uid="{0F28870E-97B0-423C-8858-E2115BD2A9A8}">
      <formula1>CN_Date</formula1>
    </dataValidation>
  </dataValidations>
  <pageMargins left="0.7" right="0.7" top="0.75" bottom="0.75" header="0.3" footer="0.3"/>
  <pageSetup paperSize="9" orientation="portrait" horizontalDpi="1200" verticalDpi="1200" r:id="rId1"/>
  <headerFooter>
    <oddFooter>&amp;C&amp;1#&amp;"Arial"&amp;10&amp;K000000Internal</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809B8C-1422-4AD3-B131-BECD44FBF6E9}">
  <sheetPr codeName="Sheet6"/>
  <dimension ref="A1:BF53"/>
  <sheetViews>
    <sheetView zoomScale="80" zoomScaleNormal="80" workbookViewId="0">
      <pane xSplit="6" ySplit="5" topLeftCell="G6" activePane="bottomRight" state="frozen"/>
      <selection pane="topRight" activeCell="F28" sqref="F28:AC28"/>
      <selection pane="bottomLeft" activeCell="F28" sqref="F28:AC28"/>
      <selection pane="bottomRight" activeCell="F12" sqref="F12"/>
    </sheetView>
  </sheetViews>
  <sheetFormatPr defaultColWidth="9.109375" defaultRowHeight="14.4"/>
  <cols>
    <col min="1" max="1" width="7.109375" style="8" customWidth="1"/>
    <col min="2" max="2" width="15.44140625" style="8" customWidth="1"/>
    <col min="3" max="4" width="15.44140625" style="8" bestFit="1" customWidth="1"/>
    <col min="5" max="6" width="11.5546875" style="8" customWidth="1"/>
    <col min="7" max="38" width="8.5546875" style="8" customWidth="1"/>
    <col min="39" max="41" width="9.109375" style="8"/>
    <col min="42" max="44" width="9.109375" style="8" hidden="1" customWidth="1"/>
    <col min="45" max="45" width="9.109375" style="8"/>
    <col min="46" max="47" width="26.88671875" style="8" customWidth="1"/>
    <col min="48" max="55" width="13.5546875" style="8" customWidth="1"/>
    <col min="56" max="56" width="18.5546875" style="8" bestFit="1" customWidth="1"/>
    <col min="57" max="57" width="9.109375" style="8"/>
    <col min="58" max="58" width="16.5546875" style="8" bestFit="1" customWidth="1"/>
    <col min="59" max="16384" width="9.109375" style="8"/>
  </cols>
  <sheetData>
    <row r="1" spans="1:58" ht="18.600000000000001" thickBot="1">
      <c r="A1" s="83" t="s">
        <v>63</v>
      </c>
    </row>
    <row r="2" spans="1:58" ht="47.25" customHeight="1" thickBot="1">
      <c r="A2" s="198" t="s">
        <v>64</v>
      </c>
      <c r="B2" s="199"/>
      <c r="C2" s="102" t="s">
        <v>92</v>
      </c>
      <c r="D2" s="33" t="e">
        <f>EOMONTH(C2,0)</f>
        <v>#VALUE!</v>
      </c>
      <c r="G2" s="210" t="s">
        <v>114</v>
      </c>
      <c r="H2" s="211"/>
      <c r="I2" s="211"/>
      <c r="J2" s="211"/>
      <c r="K2" s="211"/>
      <c r="L2" s="211"/>
      <c r="M2" s="211"/>
      <c r="N2" s="211"/>
      <c r="O2" s="211"/>
      <c r="P2" s="211"/>
      <c r="Q2" s="211"/>
      <c r="R2" s="211"/>
      <c r="S2" s="211"/>
      <c r="T2" s="211"/>
      <c r="U2" s="211"/>
      <c r="V2" s="211"/>
      <c r="W2" s="211"/>
      <c r="X2" s="211"/>
      <c r="Y2" s="211"/>
      <c r="Z2" s="211"/>
      <c r="AA2" s="211"/>
      <c r="AB2" s="211"/>
      <c r="AC2" s="211"/>
      <c r="AD2" s="211"/>
      <c r="AE2" s="211"/>
      <c r="AF2" s="211"/>
      <c r="AG2" s="211"/>
      <c r="AH2" s="211"/>
      <c r="AI2" s="211"/>
      <c r="AJ2" s="211"/>
      <c r="AK2" s="211"/>
      <c r="AL2" s="212"/>
    </row>
    <row r="3" spans="1:58" ht="15" thickBot="1">
      <c r="F3" s="10"/>
      <c r="G3" s="34" t="s">
        <v>88</v>
      </c>
      <c r="H3" s="10"/>
      <c r="I3" s="10"/>
      <c r="J3" s="10"/>
      <c r="K3" s="10"/>
      <c r="L3" s="10"/>
      <c r="M3" s="10"/>
      <c r="N3" s="10"/>
      <c r="O3" s="10"/>
      <c r="P3" s="10"/>
      <c r="Q3" s="10"/>
      <c r="R3" s="10"/>
      <c r="S3" s="10"/>
      <c r="T3" s="10"/>
      <c r="U3" s="10"/>
      <c r="V3" s="10"/>
      <c r="W3" s="10"/>
      <c r="X3" s="10"/>
      <c r="Y3" s="10"/>
      <c r="Z3" s="10"/>
      <c r="AA3" s="10"/>
      <c r="AB3" s="10"/>
      <c r="AC3" s="10"/>
      <c r="AD3" s="10"/>
      <c r="AE3" s="10"/>
      <c r="AF3" s="10"/>
      <c r="AG3" s="10"/>
      <c r="AH3" s="10"/>
    </row>
    <row r="4" spans="1:58" ht="85.5" customHeight="1">
      <c r="A4" s="35" t="s">
        <v>67</v>
      </c>
      <c r="B4" s="36" t="s">
        <v>68</v>
      </c>
      <c r="C4" s="13" t="s">
        <v>69</v>
      </c>
      <c r="D4" s="13" t="s">
        <v>94</v>
      </c>
      <c r="E4" s="13" t="s">
        <v>71</v>
      </c>
      <c r="F4" s="37" t="s">
        <v>72</v>
      </c>
      <c r="G4" s="38" t="e">
        <f>IF($C$2+0&gt;$D$2+1,"",$C$2+0)</f>
        <v>#VALUE!</v>
      </c>
      <c r="H4" s="39" t="e">
        <f>IF($C$2+1&gt;$D$2+1,"",$C$2+1)</f>
        <v>#VALUE!</v>
      </c>
      <c r="I4" s="39" t="e">
        <f>IF($C$2+2&gt;$D$2+1,"",$C$2+2)</f>
        <v>#VALUE!</v>
      </c>
      <c r="J4" s="39" t="e">
        <f>IF($C$2+3&gt;$D$2+1,"",$C$2+3)</f>
        <v>#VALUE!</v>
      </c>
      <c r="K4" s="39" t="e">
        <f>IF($C$2+4&gt;$D$2+1,"",$C$2+4)</f>
        <v>#VALUE!</v>
      </c>
      <c r="L4" s="39" t="e">
        <f>IF($C$2+5&gt;$D$2+1,"",$C$2+5)</f>
        <v>#VALUE!</v>
      </c>
      <c r="M4" s="39" t="e">
        <f>IF($C$2+6&gt;$D$2+1,"",$C$2+6)</f>
        <v>#VALUE!</v>
      </c>
      <c r="N4" s="39" t="e">
        <f>IF($C$2+7&gt;$D$2+1,"",$C$2+7)</f>
        <v>#VALUE!</v>
      </c>
      <c r="O4" s="39" t="e">
        <f>IF($C$2+8&gt;$D$2+1,"",$C$2+8)</f>
        <v>#VALUE!</v>
      </c>
      <c r="P4" s="39" t="e">
        <f>IF($C$2+9&gt;$D$2+1,"",$C$2+9)</f>
        <v>#VALUE!</v>
      </c>
      <c r="Q4" s="39" t="e">
        <f>IF($C$2+10&gt;$D$2+1,"",$C$2+10)</f>
        <v>#VALUE!</v>
      </c>
      <c r="R4" s="39" t="e">
        <f>IF($C$2+11&gt;$D$2+1,"",$C$2+11)</f>
        <v>#VALUE!</v>
      </c>
      <c r="S4" s="39" t="e">
        <f>IF($C$2+12&gt;$D$2+1,"",$C$2+12)</f>
        <v>#VALUE!</v>
      </c>
      <c r="T4" s="39" t="e">
        <f>IF($C$2+13&gt;$D$2+1,"",$C$2+13)</f>
        <v>#VALUE!</v>
      </c>
      <c r="U4" s="39" t="e">
        <f>IF($C$2+14&gt;$D$2+1,"",$C$2+14)</f>
        <v>#VALUE!</v>
      </c>
      <c r="V4" s="39" t="e">
        <f>IF($C$2+15&gt;$D$2+1,"",$C$2+15)</f>
        <v>#VALUE!</v>
      </c>
      <c r="W4" s="39" t="e">
        <f>IF($C$2+16&gt;$D$2+1,"",$C$2+16)</f>
        <v>#VALUE!</v>
      </c>
      <c r="X4" s="39" t="e">
        <f>IF($C$2+17&gt;$D$2+1,"",$C$2+17)</f>
        <v>#VALUE!</v>
      </c>
      <c r="Y4" s="39" t="e">
        <f>IF($C$2+18&gt;$D$2+1,"",$C$2+18)</f>
        <v>#VALUE!</v>
      </c>
      <c r="Z4" s="39" t="e">
        <f>IF($C$2+19&gt;$D$2+1,"",$C$2+19)</f>
        <v>#VALUE!</v>
      </c>
      <c r="AA4" s="39" t="e">
        <f>IF($C$2+20&gt;$D$2+1,"",$C$2+20)</f>
        <v>#VALUE!</v>
      </c>
      <c r="AB4" s="39" t="e">
        <f>IF($C$2+21&gt;$D$2+1,"",$C$2+21)</f>
        <v>#VALUE!</v>
      </c>
      <c r="AC4" s="39" t="e">
        <f>IF($C$2+22&gt;$D$2+1,"",$C$2+22)</f>
        <v>#VALUE!</v>
      </c>
      <c r="AD4" s="39" t="e">
        <f>IF($C$2+23&gt;$D$2+1,"",$C$2+23)</f>
        <v>#VALUE!</v>
      </c>
      <c r="AE4" s="39" t="e">
        <f>IF($C$2+24&gt;$D$2+1,"",$C$2+24)</f>
        <v>#VALUE!</v>
      </c>
      <c r="AF4" s="39" t="e">
        <f>IF($C$2+25&gt;$D$2+1,"",$C$2+25)</f>
        <v>#VALUE!</v>
      </c>
      <c r="AG4" s="39" t="e">
        <f>IF($C$2+26&gt;$D$2+1,"",$C$2+26)</f>
        <v>#VALUE!</v>
      </c>
      <c r="AH4" s="39" t="e">
        <f>IF($C$2+27&gt;$D$2+1,"",$C$2+27)</f>
        <v>#VALUE!</v>
      </c>
      <c r="AI4" s="39" t="e">
        <f>IF($C$2+28&gt;$D$2+1,"",$C$2+28)</f>
        <v>#VALUE!</v>
      </c>
      <c r="AJ4" s="39" t="e">
        <f>IF($C$2+29&gt;$D$2+1,"",$C$2+29)</f>
        <v>#VALUE!</v>
      </c>
      <c r="AK4" s="39" t="e">
        <f>IF($C$2+30&gt;$D$2+1,"",$C$2+30)</f>
        <v>#VALUE!</v>
      </c>
      <c r="AL4" s="40" t="e">
        <f>IF($C$2+31&gt;$D$2+1,"",$C$2+31)</f>
        <v>#VALUE!</v>
      </c>
      <c r="AM4" s="12" t="s">
        <v>115</v>
      </c>
      <c r="AN4" s="13" t="s">
        <v>96</v>
      </c>
      <c r="AO4" s="13" t="s">
        <v>116</v>
      </c>
      <c r="AP4" s="13"/>
      <c r="AQ4" s="13"/>
      <c r="AR4" s="13"/>
      <c r="AS4" s="13" t="s">
        <v>98</v>
      </c>
      <c r="AT4" s="13" t="s">
        <v>99</v>
      </c>
      <c r="AU4" s="13" t="s">
        <v>100</v>
      </c>
      <c r="AV4" s="13" t="s">
        <v>101</v>
      </c>
      <c r="AW4" s="13" t="s">
        <v>102</v>
      </c>
      <c r="AX4" s="13" t="s">
        <v>103</v>
      </c>
      <c r="AY4" s="13" t="s">
        <v>104</v>
      </c>
      <c r="AZ4" s="13" t="s">
        <v>105</v>
      </c>
      <c r="BA4" s="13" t="s">
        <v>106</v>
      </c>
      <c r="BB4" s="13" t="s">
        <v>107</v>
      </c>
      <c r="BC4" s="13" t="s">
        <v>75</v>
      </c>
      <c r="BD4" s="13" t="s">
        <v>78</v>
      </c>
      <c r="BE4" s="13" t="s">
        <v>108</v>
      </c>
      <c r="BF4" s="37" t="s">
        <v>109</v>
      </c>
    </row>
    <row r="5" spans="1:58" ht="15" thickBot="1">
      <c r="A5" s="41"/>
      <c r="B5" s="42"/>
      <c r="C5" s="43"/>
      <c r="D5" s="43"/>
      <c r="E5" s="43"/>
      <c r="F5" s="44"/>
      <c r="G5" s="45" t="str">
        <f>IFERROR(HLOOKUP(G4,Reference!1:2,2,0),"")</f>
        <v/>
      </c>
      <c r="H5" s="46" t="str">
        <f>IFERROR(HLOOKUP(H4,Reference!1:2,2,0),"")</f>
        <v/>
      </c>
      <c r="I5" s="46" t="str">
        <f>IFERROR(HLOOKUP(I4,Reference!1:2,2,0),"")</f>
        <v/>
      </c>
      <c r="J5" s="46" t="str">
        <f>IFERROR(HLOOKUP(J4,Reference!1:2,2,0),"")</f>
        <v/>
      </c>
      <c r="K5" s="46" t="str">
        <f>IFERROR(HLOOKUP(K4,Reference!1:2,2,0),"")</f>
        <v/>
      </c>
      <c r="L5" s="46" t="str">
        <f>IFERROR(HLOOKUP(L4,Reference!1:2,2,0),"")</f>
        <v/>
      </c>
      <c r="M5" s="46" t="str">
        <f>IFERROR(HLOOKUP(M4,Reference!1:2,2,0),"")</f>
        <v/>
      </c>
      <c r="N5" s="46" t="str">
        <f>IFERROR(HLOOKUP(N4,Reference!1:2,2,0),"")</f>
        <v/>
      </c>
      <c r="O5" s="46" t="str">
        <f>IFERROR(HLOOKUP(O4,Reference!1:2,2,0),"")</f>
        <v/>
      </c>
      <c r="P5" s="46" t="str">
        <f>IFERROR(HLOOKUP(P4,Reference!1:2,2,0),"")</f>
        <v/>
      </c>
      <c r="Q5" s="46" t="str">
        <f>IFERROR(HLOOKUP(Q4,Reference!1:2,2,0),"")</f>
        <v/>
      </c>
      <c r="R5" s="46" t="str">
        <f>IFERROR(HLOOKUP(R4,Reference!1:2,2,0),"")</f>
        <v/>
      </c>
      <c r="S5" s="46" t="str">
        <f>IFERROR(HLOOKUP(S4,Reference!1:2,2,0),"")</f>
        <v/>
      </c>
      <c r="T5" s="46" t="str">
        <f>IFERROR(HLOOKUP(T4,Reference!1:2,2,0),"")</f>
        <v/>
      </c>
      <c r="U5" s="46" t="str">
        <f>IFERROR(HLOOKUP(U4,Reference!1:2,2,0),"")</f>
        <v/>
      </c>
      <c r="V5" s="46" t="str">
        <f>IFERROR(HLOOKUP(V4,Reference!1:2,2,0),"")</f>
        <v/>
      </c>
      <c r="W5" s="46" t="str">
        <f>IFERROR(HLOOKUP(W4,Reference!1:2,2,0),"")</f>
        <v/>
      </c>
      <c r="X5" s="46" t="str">
        <f>IFERROR(HLOOKUP(X4,Reference!1:2,2,0),"")</f>
        <v/>
      </c>
      <c r="Y5" s="46" t="str">
        <f>IFERROR(HLOOKUP(Y4,Reference!1:2,2,0),"")</f>
        <v/>
      </c>
      <c r="Z5" s="46" t="str">
        <f>IFERROR(HLOOKUP(Z4,Reference!1:2,2,0),"")</f>
        <v/>
      </c>
      <c r="AA5" s="46" t="str">
        <f>IFERROR(HLOOKUP(AA4,Reference!1:2,2,0),"")</f>
        <v/>
      </c>
      <c r="AB5" s="46" t="str">
        <f>IFERROR(HLOOKUP(AB4,Reference!1:2,2,0),"")</f>
        <v/>
      </c>
      <c r="AC5" s="46" t="str">
        <f>IFERROR(HLOOKUP(AC4,Reference!1:2,2,0),"")</f>
        <v/>
      </c>
      <c r="AD5" s="46" t="str">
        <f>IFERROR(HLOOKUP(AD4,Reference!1:2,2,0),"")</f>
        <v/>
      </c>
      <c r="AE5" s="46" t="str">
        <f>IFERROR(HLOOKUP(AE4,Reference!1:2,2,0),"")</f>
        <v/>
      </c>
      <c r="AF5" s="46" t="str">
        <f>IFERROR(HLOOKUP(AF4,Reference!1:2,2,0),"")</f>
        <v/>
      </c>
      <c r="AG5" s="46" t="str">
        <f>IFERROR(HLOOKUP(AG4,Reference!1:2,2,0),"")</f>
        <v/>
      </c>
      <c r="AH5" s="46" t="str">
        <f>IFERROR(HLOOKUP(AH4,Reference!1:2,2,0),"")</f>
        <v/>
      </c>
      <c r="AI5" s="46" t="str">
        <f>IFERROR(HLOOKUP(AI4,Reference!1:2,2,0),"")</f>
        <v/>
      </c>
      <c r="AJ5" s="46" t="str">
        <f>IFERROR(HLOOKUP(AJ4,Reference!1:2,2,0),"")</f>
        <v/>
      </c>
      <c r="AK5" s="46" t="str">
        <f>IFERROR(HLOOKUP(AK4,Reference!1:2,2,0),"")</f>
        <v/>
      </c>
      <c r="AL5" s="47" t="str">
        <f>IFERROR(HLOOKUP(AL4,Reference!1:2,2,0),"")</f>
        <v/>
      </c>
      <c r="AM5" s="48"/>
      <c r="AN5" s="43"/>
      <c r="AO5" s="43"/>
      <c r="AP5" s="43"/>
      <c r="AQ5" s="43"/>
      <c r="AR5" s="43"/>
      <c r="AS5" s="43"/>
      <c r="AT5" s="43"/>
      <c r="AU5" s="43"/>
      <c r="AV5" s="43"/>
      <c r="AW5" s="43"/>
      <c r="AX5" s="43"/>
      <c r="AY5" s="43"/>
      <c r="AZ5" s="43"/>
      <c r="BA5" s="43"/>
      <c r="BB5" s="43"/>
      <c r="BC5" s="43"/>
      <c r="BD5" s="49"/>
      <c r="BE5" s="43"/>
      <c r="BF5" s="44"/>
    </row>
    <row r="6" spans="1:58">
      <c r="A6" s="50">
        <v>0</v>
      </c>
      <c r="B6" s="51">
        <v>12345</v>
      </c>
      <c r="C6" s="110" t="s">
        <v>89</v>
      </c>
      <c r="D6" s="52">
        <v>105</v>
      </c>
      <c r="E6" s="110"/>
      <c r="F6" s="53"/>
      <c r="G6" s="54" t="s">
        <v>117</v>
      </c>
      <c r="H6" s="52" t="s">
        <v>117</v>
      </c>
      <c r="I6" s="52"/>
      <c r="J6" s="52" t="s">
        <v>118</v>
      </c>
      <c r="K6" s="52" t="s">
        <v>119</v>
      </c>
      <c r="L6" s="52" t="s">
        <v>117</v>
      </c>
      <c r="M6" s="52"/>
      <c r="N6" s="52"/>
      <c r="O6" s="52" t="s">
        <v>117</v>
      </c>
      <c r="P6" s="52" t="s">
        <v>117</v>
      </c>
      <c r="Q6" s="52"/>
      <c r="R6" s="52"/>
      <c r="S6" s="52" t="s">
        <v>117</v>
      </c>
      <c r="T6" s="52" t="s">
        <v>117</v>
      </c>
      <c r="U6" s="52"/>
      <c r="V6" s="52"/>
      <c r="W6" s="52" t="s">
        <v>117</v>
      </c>
      <c r="X6" s="52" t="s">
        <v>117</v>
      </c>
      <c r="Y6" s="52" t="s">
        <v>117</v>
      </c>
      <c r="Z6" s="52"/>
      <c r="AA6" s="52" t="s">
        <v>117</v>
      </c>
      <c r="AB6" s="52" t="s">
        <v>117</v>
      </c>
      <c r="AC6" s="52"/>
      <c r="AD6" s="52" t="s">
        <v>118</v>
      </c>
      <c r="AE6" s="52" t="s">
        <v>118</v>
      </c>
      <c r="AF6" s="52" t="s">
        <v>118</v>
      </c>
      <c r="AG6" s="52"/>
      <c r="AH6" s="52"/>
      <c r="AI6" s="52" t="s">
        <v>117</v>
      </c>
      <c r="AJ6" s="52" t="s">
        <v>117</v>
      </c>
      <c r="AK6" s="52"/>
      <c r="AL6" s="55"/>
      <c r="AM6" s="60">
        <f t="shared" ref="AM6" si="0">COUNTIFS(G6:AK6,"早12",$G$4:$AK$4,"&lt;="&amp;$D$2)*12</f>
        <v>48</v>
      </c>
      <c r="AN6" s="61">
        <f t="shared" ref="AN6" si="1">COUNTIFS(G6:AK6,"夜12",$G$4:$AK$4,"&lt;="&amp;$D$2)*12</f>
        <v>168</v>
      </c>
      <c r="AO6" s="61">
        <f t="shared" ref="AO6" si="2">COUNTIFS(G6:AK6,"日8",$G$4:$AK$4,"&lt;="&amp;$D$2)*8</f>
        <v>8</v>
      </c>
      <c r="AP6" s="61"/>
      <c r="AQ6" s="61"/>
      <c r="AR6" s="61"/>
      <c r="AS6" s="61" t="e">
        <f t="shared" ref="AS6" si="3">COUNTIFS(G6:AK6,"早12",$G$4:$AK$4,"&lt;="&amp;$D$2,$G$5:$AK$5,"PH")*12+COUNTIFS(G6:AK6,"日8",$G$4:$AK$4,"&lt;="&amp;$D$2,$G$5:$AK$5,"PH")*8+COUNTIFS(G6:AK6,"夜12",$G$4:$AK$4,"&lt;="&amp;$D$2,$G$5:$AK$5,"PH")*4+
IF(AND(G6="夜12",$H$5="PH",$G$4&lt;=$D$2),8,0)+IF(AND(H6="夜12",$I$5="PH",$H$4&lt;=$D$2),8,0)+IF(AND(I6="夜12",$J$5="PH",$I$4&lt;=$D$2),8,0)+IF(AND(J6="夜12",$K$5="PH",$J$4&lt;=$D$2),8,0)+IF(AND(K6="夜12",$L$5="PH",$K$4&lt;=$D$2),8,0)+IF(AND(L6="夜12",$M$5="PH",$L$4&lt;=$D$2),8,0)+IF(AND(M6="夜12",$N$5="PH",$M$4&lt;=$D$2),8,0)+IF(AND(N6="夜12",$O$5="PH",$N$4&lt;=$D$2),8,0)+IF(AND(O6="夜12",$P$5="PH",$O$4&lt;=$D$2),8,0)+IF(AND(P6="夜12",$Q$5="PH",$P$4&lt;=$D$2),8,0)+IF(AND(Q6="夜12",$R$5="PH",$Q$4&lt;=$D$2),8,0)+IF(AND(R6="夜12",$S$5="PH",$R$4&lt;=$D$2),8,0)+IF(AND(S6="夜12",$T$5="PH",$S$4&lt;=$D$2),8,0)+IF(AND(T6="夜12",$U$5="PH",$T$4&lt;=$D$2),8,0)+IF(AND(U6="夜12",$V$5="PH",$U$4&lt;=$D$2),8,0)+IF(AND(V6="夜12",$W$5="PH",$V$4&lt;=$D$2),8,0)+IF(AND(W6="夜12",$X$5="PH",$W$4&lt;=$D$2),8,0)+IF(AND(X6="夜12",$Y$5="PH",$X$4&lt;=$D$2),8,0)+IF(AND(Y6="夜12",$Z$5="PH",$Y$4&lt;=$D$2),8,0)+IF(AND(Z6="夜12",$AA$5="PH",$Z$4&lt;=$D$2),8,0)+IF(AND(AA6="夜12",$AB$5="PH",$AA$4&lt;=$D$2),8,0)+IF(AND(AB6="夜12",$AC$5="PH",$AB$4&lt;=$D$2),8,0)+IF(AND(AC6="夜12",$AD$5="PH",$AC$4&lt;=$D$2),8,0)+IF(AND(AD6="夜12",$AE$5="PH",$AD$4&lt;=$D$2),8,0)+IF(AND(AE6="夜12",$AF$5="PH",$AE$4&lt;=$D$2),8,0)+IF(AND(AF6="夜12",$AG$5="PH",$AF$4&lt;=$D$2),8,0)+IF(AND(AG6="夜12",$AH$5="PH",$AG$4&lt;=$D$2),8,0)+IF(AND(AH6="夜12",$AI$5="PH",$AH$4&lt;=$D$2),8,0)+IF(AND(AI6="夜12",$AJ$5="PH",$AI$4&lt;=$D$2),8,0)+IF(AND(AJ6="夜12",$AK$5="PH",$AJ$4&lt;=$D$2),8,0)+IF(AND(AK6="夜12",$AL$5="PH",$AK$4&lt;=$D$2),8,0)</f>
        <v>#VALUE!</v>
      </c>
      <c r="AT6" s="52"/>
      <c r="AU6" s="52"/>
      <c r="AV6" s="57" t="e">
        <f>SUM(AM6:AO6)-AS6+AT6</f>
        <v>#VALUE!</v>
      </c>
      <c r="AW6" s="57" t="e">
        <f t="shared" ref="AW6" si="4">AV6/8</f>
        <v>#VALUE!</v>
      </c>
      <c r="AX6" s="57" t="e">
        <f t="shared" ref="AX6:AX36" si="5">NETWORKDAYS($C$2,$D$2)</f>
        <v>#VALUE!</v>
      </c>
      <c r="AY6" s="57" t="e">
        <f t="shared" ref="AY6" si="6">ROUND(IF(AW6&gt;=AX6,AX6,AW6)*D6,2)</f>
        <v>#VALUE!</v>
      </c>
      <c r="AZ6" s="57" t="e">
        <f t="shared" ref="AZ6" si="7">ROUND(IF((AW6-AX6)*1.5*D6&lt;0,0,(AW6-AX6)*1.5*D6),2)</f>
        <v>#VALUE!</v>
      </c>
      <c r="BA6" s="57" t="e">
        <f t="shared" ref="BA6" si="8">ROUND(D6/8*(AS6+AU6)*3,2)</f>
        <v>#VALUE!</v>
      </c>
      <c r="BB6" s="101">
        <f>COUNTIFS(G6:AK6,"早12",$G$4:$AK$4,"&lt;="&amp;$D$2)*50+COUNTIFS(G6:AK6,"夜12",$G$4:$AK$4,"&lt;="&amp;$D$2)*50</f>
        <v>900</v>
      </c>
      <c r="BC6" s="52">
        <v>500</v>
      </c>
      <c r="BD6" s="58" t="e">
        <f t="shared" ref="BD6" si="9">SUM(AY6:BC6)</f>
        <v>#VALUE!</v>
      </c>
      <c r="BE6" s="52"/>
      <c r="BF6" s="116" t="s">
        <v>57</v>
      </c>
    </row>
    <row r="7" spans="1:58">
      <c r="A7" s="59">
        <v>1</v>
      </c>
      <c r="B7" s="103"/>
      <c r="C7" s="104"/>
      <c r="D7" s="105"/>
      <c r="E7" s="104"/>
      <c r="F7" s="106"/>
      <c r="G7" s="108"/>
      <c r="H7" s="105"/>
      <c r="I7" s="105"/>
      <c r="J7" s="105"/>
      <c r="K7" s="105"/>
      <c r="L7" s="105"/>
      <c r="M7" s="105"/>
      <c r="N7" s="105"/>
      <c r="O7" s="105"/>
      <c r="P7" s="105"/>
      <c r="Q7" s="105"/>
      <c r="R7" s="105"/>
      <c r="S7" s="105"/>
      <c r="T7" s="105"/>
      <c r="U7" s="105"/>
      <c r="V7" s="105"/>
      <c r="W7" s="105"/>
      <c r="X7" s="105"/>
      <c r="Y7" s="105"/>
      <c r="Z7" s="105"/>
      <c r="AA7" s="105"/>
      <c r="AB7" s="105"/>
      <c r="AC7" s="105"/>
      <c r="AD7" s="105"/>
      <c r="AE7" s="105"/>
      <c r="AF7" s="105"/>
      <c r="AG7" s="105"/>
      <c r="AH7" s="105"/>
      <c r="AI7" s="105"/>
      <c r="AJ7" s="105"/>
      <c r="AK7" s="105"/>
      <c r="AL7" s="97"/>
      <c r="AM7" s="60">
        <f>COUNTIFS(G7:AK7,"早12",$G$4:$AK$4,"&lt;="&amp;$D$2)*12</f>
        <v>0</v>
      </c>
      <c r="AN7" s="61">
        <f>COUNTIFS(G7:AK7,"夜12",$G$4:$AK$4,"&lt;="&amp;$D$2)*12</f>
        <v>0</v>
      </c>
      <c r="AO7" s="61">
        <f>COUNTIFS(G7:AK7,"日8",$G$4:$AK$4,"&lt;="&amp;$D$2)*8</f>
        <v>0</v>
      </c>
      <c r="AP7" s="61"/>
      <c r="AQ7" s="61"/>
      <c r="AR7" s="61"/>
      <c r="AS7" s="61" t="e">
        <f>COUNTIFS(G7:AK7,"早12",$G$4:$AK$4,"&lt;="&amp;$D$2,$G$5:$AK$5,"PH")*12+COUNTIFS(G7:AK7,"日8",$G$4:$AK$4,"&lt;="&amp;$D$2,$G$5:$AK$5,"PH")*8+COUNTIFS(G7:AK7,"夜12",$G$4:$AK$4,"&lt;="&amp;$D$2,$G$5:$AK$5,"PH")*4+
IF(AND(G7="夜12",$H$5="PH",$G$4&lt;=$D$2),8,0)+IF(AND(H7="夜12",$I$5="PH",$H$4&lt;=$D$2),8,0)+IF(AND(I7="夜12",$J$5="PH",$I$4&lt;=$D$2),8,0)+IF(AND(J7="夜12",$K$5="PH",$J$4&lt;=$D$2),8,0)+IF(AND(K7="夜12",$L$5="PH",$K$4&lt;=$D$2),8,0)+IF(AND(L7="夜12",$M$5="PH",$L$4&lt;=$D$2),8,0)+IF(AND(M7="夜12",$N$5="PH",$M$4&lt;=$D$2),8,0)+IF(AND(N7="夜12",$O$5="PH",$N$4&lt;=$D$2),8,0)+IF(AND(O7="夜12",$P$5="PH",$O$4&lt;=$D$2),8,0)+IF(AND(P7="夜12",$Q$5="PH",$P$4&lt;=$D$2),8,0)+IF(AND(Q7="夜12",$R$5="PH",$Q$4&lt;=$D$2),8,0)+IF(AND(R7="夜12",$S$5="PH",$R$4&lt;=$D$2),8,0)+IF(AND(S7="夜12",$T$5="PH",$S$4&lt;=$D$2),8,0)+IF(AND(T7="夜12",$U$5="PH",$T$4&lt;=$D$2),8,0)+IF(AND(U7="夜12",$V$5="PH",$U$4&lt;=$D$2),8,0)+IF(AND(V7="夜12",$W$5="PH",$V$4&lt;=$D$2),8,0)+IF(AND(W7="夜12",$X$5="PH",$W$4&lt;=$D$2),8,0)+IF(AND(X7="夜12",$Y$5="PH",$X$4&lt;=$D$2),8,0)+IF(AND(Y7="夜12",$Z$5="PH",$Y$4&lt;=$D$2),8,0)+IF(AND(Z7="夜12",$AA$5="PH",$Z$4&lt;=$D$2),8,0)+IF(AND(AA7="夜12",$AB$5="PH",$AA$4&lt;=$D$2),8,0)+IF(AND(AB7="夜12",$AC$5="PH",$AB$4&lt;=$D$2),8,0)+IF(AND(AC7="夜12",$AD$5="PH",$AC$4&lt;=$D$2),8,0)+IF(AND(AD7="夜12",$AE$5="PH",$AD$4&lt;=$D$2),8,0)+IF(AND(AE7="夜12",$AF$5="PH",$AE$4&lt;=$D$2),8,0)+IF(AND(AF7="夜12",$AG$5="PH",$AF$4&lt;=$D$2),8,0)+IF(AND(AG7="夜12",$AH$5="PH",$AG$4&lt;=$D$2),8,0)+IF(AND(AH7="夜12",$AI$5="PH",$AH$4&lt;=$D$2),8,0)+IF(AND(AI7="夜12",$AJ$5="PH",$AI$4&lt;=$D$2),8,0)+IF(AND(AJ7="夜12",$AK$5="PH",$AJ$4&lt;=$D$2),8,0)+IF(AND(AK7="夜12",$AL$5="PH",$AK$4&lt;=$D$2),8,0)</f>
        <v>#VALUE!</v>
      </c>
      <c r="AT7" s="105"/>
      <c r="AU7" s="105"/>
      <c r="AV7" s="61" t="e">
        <f t="shared" ref="AV7:AV8" si="10">SUM(AM7:AO7)-AS7+AT7</f>
        <v>#VALUE!</v>
      </c>
      <c r="AW7" s="61" t="e">
        <f t="shared" ref="AW7:AW21" si="11">AV7/8</f>
        <v>#VALUE!</v>
      </c>
      <c r="AX7" s="61" t="e">
        <f t="shared" si="5"/>
        <v>#VALUE!</v>
      </c>
      <c r="AY7" s="61" t="e">
        <f t="shared" ref="AY7:AY21" si="12">ROUND(IF(AW7&gt;=AX7,AX7,AW7)*D7,2)</f>
        <v>#VALUE!</v>
      </c>
      <c r="AZ7" s="61" t="e">
        <f t="shared" ref="AZ7:AZ21" si="13">ROUND(IF((AW7-AX7)*1.5*D7&lt;0,0,(AW7-AX7)*1.5*D7),2)</f>
        <v>#VALUE!</v>
      </c>
      <c r="BA7" s="61" t="e">
        <f t="shared" ref="BA7:BA21" si="14">ROUND(D7/8*(AS7+AU7)*3,2)</f>
        <v>#VALUE!</v>
      </c>
      <c r="BB7" s="61">
        <f t="shared" ref="BB7:BB21" si="15">COUNTIFS(G7:AK7,"早12",$G$4:$AK$4,"&lt;="&amp;$D$2)*50+COUNTIFS(G7:AK7,"夜12",$G$4:$AK$4,"&lt;="&amp;$D$2)*50</f>
        <v>0</v>
      </c>
      <c r="BC7" s="105"/>
      <c r="BD7" s="62" t="e">
        <f t="shared" ref="BD7:BD21" si="16">SUM(AY7:BC7)</f>
        <v>#VALUE!</v>
      </c>
      <c r="BE7" s="105"/>
      <c r="BF7" s="117" t="s">
        <v>57</v>
      </c>
    </row>
    <row r="8" spans="1:58">
      <c r="A8" s="59">
        <v>2</v>
      </c>
      <c r="B8" s="103"/>
      <c r="C8" s="104"/>
      <c r="D8" s="105"/>
      <c r="E8" s="104"/>
      <c r="F8" s="106"/>
      <c r="G8" s="107"/>
      <c r="H8" s="105"/>
      <c r="I8" s="105"/>
      <c r="J8" s="105"/>
      <c r="K8" s="105"/>
      <c r="L8" s="105"/>
      <c r="M8" s="105"/>
      <c r="N8" s="105"/>
      <c r="O8" s="105"/>
      <c r="P8" s="105"/>
      <c r="Q8" s="105"/>
      <c r="R8" s="105"/>
      <c r="S8" s="105"/>
      <c r="T8" s="105"/>
      <c r="U8" s="105"/>
      <c r="V8" s="105"/>
      <c r="W8" s="105"/>
      <c r="X8" s="105"/>
      <c r="Y8" s="105"/>
      <c r="Z8" s="105"/>
      <c r="AA8" s="105"/>
      <c r="AB8" s="105"/>
      <c r="AC8" s="105"/>
      <c r="AD8" s="105"/>
      <c r="AE8" s="105"/>
      <c r="AF8" s="105"/>
      <c r="AG8" s="105"/>
      <c r="AH8" s="105"/>
      <c r="AI8" s="105"/>
      <c r="AJ8" s="105"/>
      <c r="AK8" s="105"/>
      <c r="AL8" s="97"/>
      <c r="AM8" s="60">
        <f t="shared" ref="AM8:AM21" si="17">COUNTIFS(G8:AK8,"早12",$G$4:$AK$4,"&lt;="&amp;$D$2)*12</f>
        <v>0</v>
      </c>
      <c r="AN8" s="61">
        <f t="shared" ref="AN8:AN21" si="18">COUNTIFS(G8:AK8,"夜12",$G$4:$AK$4,"&lt;="&amp;$D$2)*12</f>
        <v>0</v>
      </c>
      <c r="AO8" s="61">
        <f t="shared" ref="AO8:AO21" si="19">COUNTIFS(G8:AK8,"日8",$G$4:$AK$4,"&lt;="&amp;$D$2)*8</f>
        <v>0</v>
      </c>
      <c r="AP8" s="61"/>
      <c r="AQ8" s="61"/>
      <c r="AR8" s="61"/>
      <c r="AS8" s="61" t="e">
        <f t="shared" ref="AS8:AS21" si="20">COUNTIFS(G8:AK8,"早12",$G$4:$AK$4,"&lt;="&amp;$D$2,$G$5:$AK$5,"PH")*12+COUNTIFS(G8:AK8,"日8",$G$4:$AK$4,"&lt;="&amp;$D$2,$G$5:$AK$5,"PH")*8+COUNTIFS(G8:AK8,"夜12",$G$4:$AK$4,"&lt;="&amp;$D$2,$G$5:$AK$5,"PH")*4+
IF(AND(G8="夜12",$H$5="PH",$G$4&lt;=$D$2),8,0)+IF(AND(H8="夜12",$I$5="PH",$H$4&lt;=$D$2),8,0)+IF(AND(I8="夜12",$J$5="PH",$I$4&lt;=$D$2),8,0)+IF(AND(J8="夜12",$K$5="PH",$J$4&lt;=$D$2),8,0)+IF(AND(K8="夜12",$L$5="PH",$K$4&lt;=$D$2),8,0)+IF(AND(L8="夜12",$M$5="PH",$L$4&lt;=$D$2),8,0)+IF(AND(M8="夜12",$N$5="PH",$M$4&lt;=$D$2),8,0)+IF(AND(N8="夜12",$O$5="PH",$N$4&lt;=$D$2),8,0)+IF(AND(O8="夜12",$P$5="PH",$O$4&lt;=$D$2),8,0)+IF(AND(P8="夜12",$Q$5="PH",$P$4&lt;=$D$2),8,0)+IF(AND(Q8="夜12",$R$5="PH",$Q$4&lt;=$D$2),8,0)+IF(AND(R8="夜12",$S$5="PH",$R$4&lt;=$D$2),8,0)+IF(AND(S8="夜12",$T$5="PH",$S$4&lt;=$D$2),8,0)+IF(AND(T8="夜12",$U$5="PH",$T$4&lt;=$D$2),8,0)+IF(AND(U8="夜12",$V$5="PH",$U$4&lt;=$D$2),8,0)+IF(AND(V8="夜12",$W$5="PH",$V$4&lt;=$D$2),8,0)+IF(AND(W8="夜12",$X$5="PH",$W$4&lt;=$D$2),8,0)+IF(AND(X8="夜12",$Y$5="PH",$X$4&lt;=$D$2),8,0)+IF(AND(Y8="夜12",$Z$5="PH",$Y$4&lt;=$D$2),8,0)+IF(AND(Z8="夜12",$AA$5="PH",$Z$4&lt;=$D$2),8,0)+IF(AND(AA8="夜12",$AB$5="PH",$AA$4&lt;=$D$2),8,0)+IF(AND(AB8="夜12",$AC$5="PH",$AB$4&lt;=$D$2),8,0)+IF(AND(AC8="夜12",$AD$5="PH",$AC$4&lt;=$D$2),8,0)+IF(AND(AD8="夜12",$AE$5="PH",$AD$4&lt;=$D$2),8,0)+IF(AND(AE8="夜12",$AF$5="PH",$AE$4&lt;=$D$2),8,0)+IF(AND(AF8="夜12",$AG$5="PH",$AF$4&lt;=$D$2),8,0)+IF(AND(AG8="夜12",$AH$5="PH",$AG$4&lt;=$D$2),8,0)+IF(AND(AH8="夜12",$AI$5="PH",$AH$4&lt;=$D$2),8,0)+IF(AND(AI8="夜12",$AJ$5="PH",$AI$4&lt;=$D$2),8,0)+IF(AND(AJ8="夜12",$AK$5="PH",$AJ$4&lt;=$D$2),8,0)+IF(AND(AK8="夜12",$AL$5="PH",$AK$4&lt;=$D$2),8,0)</f>
        <v>#VALUE!</v>
      </c>
      <c r="AT8" s="105"/>
      <c r="AU8" s="105"/>
      <c r="AV8" s="61" t="e">
        <f t="shared" si="10"/>
        <v>#VALUE!</v>
      </c>
      <c r="AW8" s="61" t="e">
        <f t="shared" si="11"/>
        <v>#VALUE!</v>
      </c>
      <c r="AX8" s="61" t="e">
        <f t="shared" si="5"/>
        <v>#VALUE!</v>
      </c>
      <c r="AY8" s="61" t="e">
        <f t="shared" si="12"/>
        <v>#VALUE!</v>
      </c>
      <c r="AZ8" s="61" t="e">
        <f t="shared" si="13"/>
        <v>#VALUE!</v>
      </c>
      <c r="BA8" s="61" t="e">
        <f t="shared" si="14"/>
        <v>#VALUE!</v>
      </c>
      <c r="BB8" s="61">
        <f t="shared" si="15"/>
        <v>0</v>
      </c>
      <c r="BC8" s="105"/>
      <c r="BD8" s="62" t="e">
        <f t="shared" si="16"/>
        <v>#VALUE!</v>
      </c>
      <c r="BE8" s="105"/>
      <c r="BF8" s="117" t="s">
        <v>57</v>
      </c>
    </row>
    <row r="9" spans="1:58">
      <c r="A9" s="59">
        <v>3</v>
      </c>
      <c r="B9" s="103"/>
      <c r="C9" s="104"/>
      <c r="D9" s="105"/>
      <c r="E9" s="104"/>
      <c r="F9" s="106"/>
      <c r="G9" s="107"/>
      <c r="H9" s="105"/>
      <c r="I9" s="105"/>
      <c r="J9" s="105"/>
      <c r="K9" s="105"/>
      <c r="L9" s="105"/>
      <c r="M9" s="105"/>
      <c r="N9" s="105"/>
      <c r="O9" s="105"/>
      <c r="P9" s="105"/>
      <c r="Q9" s="105"/>
      <c r="R9" s="105"/>
      <c r="S9" s="105"/>
      <c r="T9" s="105"/>
      <c r="U9" s="105"/>
      <c r="V9" s="105"/>
      <c r="W9" s="105"/>
      <c r="X9" s="105"/>
      <c r="Y9" s="105"/>
      <c r="Z9" s="105"/>
      <c r="AA9" s="105"/>
      <c r="AB9" s="105"/>
      <c r="AC9" s="105"/>
      <c r="AD9" s="105"/>
      <c r="AE9" s="105"/>
      <c r="AF9" s="105"/>
      <c r="AG9" s="105"/>
      <c r="AH9" s="105"/>
      <c r="AI9" s="105"/>
      <c r="AJ9" s="105"/>
      <c r="AK9" s="105"/>
      <c r="AL9" s="97"/>
      <c r="AM9" s="60">
        <f t="shared" si="17"/>
        <v>0</v>
      </c>
      <c r="AN9" s="61">
        <f t="shared" si="18"/>
        <v>0</v>
      </c>
      <c r="AO9" s="61">
        <f t="shared" si="19"/>
        <v>0</v>
      </c>
      <c r="AP9" s="61"/>
      <c r="AQ9" s="61"/>
      <c r="AR9" s="61"/>
      <c r="AS9" s="61" t="e">
        <f t="shared" si="20"/>
        <v>#VALUE!</v>
      </c>
      <c r="AT9" s="105"/>
      <c r="AU9" s="105"/>
      <c r="AV9" s="61" t="e">
        <f>SUM(AM9:AO9)-AS9+AT9</f>
        <v>#VALUE!</v>
      </c>
      <c r="AW9" s="61" t="e">
        <f t="shared" si="11"/>
        <v>#VALUE!</v>
      </c>
      <c r="AX9" s="61" t="e">
        <f t="shared" si="5"/>
        <v>#VALUE!</v>
      </c>
      <c r="AY9" s="61" t="e">
        <f t="shared" si="12"/>
        <v>#VALUE!</v>
      </c>
      <c r="AZ9" s="61" t="e">
        <f t="shared" si="13"/>
        <v>#VALUE!</v>
      </c>
      <c r="BA9" s="61" t="e">
        <f t="shared" si="14"/>
        <v>#VALUE!</v>
      </c>
      <c r="BB9" s="61">
        <f t="shared" si="15"/>
        <v>0</v>
      </c>
      <c r="BC9" s="105"/>
      <c r="BD9" s="62" t="e">
        <f t="shared" si="16"/>
        <v>#VALUE!</v>
      </c>
      <c r="BE9" s="105"/>
      <c r="BF9" s="117" t="s">
        <v>57</v>
      </c>
    </row>
    <row r="10" spans="1:58">
      <c r="A10" s="59">
        <v>4</v>
      </c>
      <c r="B10" s="103"/>
      <c r="C10" s="104"/>
      <c r="D10" s="105"/>
      <c r="E10" s="104"/>
      <c r="F10" s="106"/>
      <c r="G10" s="107"/>
      <c r="H10" s="105"/>
      <c r="I10" s="105"/>
      <c r="J10" s="105"/>
      <c r="K10" s="105"/>
      <c r="L10" s="105"/>
      <c r="M10" s="105"/>
      <c r="N10" s="105"/>
      <c r="O10" s="105"/>
      <c r="P10" s="105"/>
      <c r="Q10" s="105"/>
      <c r="R10" s="105"/>
      <c r="S10" s="105"/>
      <c r="T10" s="105"/>
      <c r="U10" s="105"/>
      <c r="V10" s="105"/>
      <c r="W10" s="105"/>
      <c r="X10" s="105"/>
      <c r="Y10" s="105"/>
      <c r="Z10" s="105"/>
      <c r="AA10" s="105"/>
      <c r="AB10" s="105"/>
      <c r="AC10" s="105"/>
      <c r="AD10" s="105"/>
      <c r="AE10" s="105"/>
      <c r="AF10" s="105"/>
      <c r="AG10" s="105"/>
      <c r="AH10" s="105"/>
      <c r="AI10" s="105"/>
      <c r="AJ10" s="105"/>
      <c r="AK10" s="105"/>
      <c r="AL10" s="97"/>
      <c r="AM10" s="60">
        <f t="shared" si="17"/>
        <v>0</v>
      </c>
      <c r="AN10" s="61">
        <f t="shared" si="18"/>
        <v>0</v>
      </c>
      <c r="AO10" s="61">
        <f t="shared" si="19"/>
        <v>0</v>
      </c>
      <c r="AP10" s="61"/>
      <c r="AQ10" s="61"/>
      <c r="AR10" s="61"/>
      <c r="AS10" s="61" t="e">
        <f t="shared" si="20"/>
        <v>#VALUE!</v>
      </c>
      <c r="AT10" s="105"/>
      <c r="AU10" s="105"/>
      <c r="AV10" s="61" t="e">
        <f t="shared" ref="AV10:AV11" si="21">SUM(AM10:AO10)-AS10+AT10</f>
        <v>#VALUE!</v>
      </c>
      <c r="AW10" s="61" t="e">
        <f t="shared" si="11"/>
        <v>#VALUE!</v>
      </c>
      <c r="AX10" s="61" t="e">
        <f t="shared" si="5"/>
        <v>#VALUE!</v>
      </c>
      <c r="AY10" s="61" t="e">
        <f t="shared" si="12"/>
        <v>#VALUE!</v>
      </c>
      <c r="AZ10" s="61" t="e">
        <f t="shared" si="13"/>
        <v>#VALUE!</v>
      </c>
      <c r="BA10" s="61" t="e">
        <f t="shared" si="14"/>
        <v>#VALUE!</v>
      </c>
      <c r="BB10" s="61">
        <f t="shared" si="15"/>
        <v>0</v>
      </c>
      <c r="BC10" s="105"/>
      <c r="BD10" s="62" t="e">
        <f t="shared" si="16"/>
        <v>#VALUE!</v>
      </c>
      <c r="BE10" s="105"/>
      <c r="BF10" s="117" t="s">
        <v>57</v>
      </c>
    </row>
    <row r="11" spans="1:58">
      <c r="A11" s="59">
        <v>5</v>
      </c>
      <c r="B11" s="103"/>
      <c r="C11" s="104"/>
      <c r="D11" s="105"/>
      <c r="E11" s="104"/>
      <c r="F11" s="106"/>
      <c r="G11" s="107"/>
      <c r="H11" s="105"/>
      <c r="I11" s="105"/>
      <c r="J11" s="105"/>
      <c r="K11" s="105"/>
      <c r="L11" s="105"/>
      <c r="M11" s="105"/>
      <c r="N11" s="105"/>
      <c r="O11" s="105"/>
      <c r="P11" s="105"/>
      <c r="Q11" s="105"/>
      <c r="R11" s="105"/>
      <c r="S11" s="105"/>
      <c r="T11" s="105"/>
      <c r="U11" s="105"/>
      <c r="V11" s="105"/>
      <c r="W11" s="105"/>
      <c r="X11" s="105"/>
      <c r="Y11" s="105"/>
      <c r="Z11" s="105"/>
      <c r="AA11" s="105"/>
      <c r="AB11" s="105"/>
      <c r="AC11" s="105"/>
      <c r="AD11" s="105"/>
      <c r="AE11" s="105"/>
      <c r="AF11" s="105"/>
      <c r="AG11" s="105"/>
      <c r="AH11" s="105"/>
      <c r="AI11" s="105"/>
      <c r="AJ11" s="105"/>
      <c r="AK11" s="105"/>
      <c r="AL11" s="97"/>
      <c r="AM11" s="60">
        <f t="shared" si="17"/>
        <v>0</v>
      </c>
      <c r="AN11" s="61">
        <f t="shared" si="18"/>
        <v>0</v>
      </c>
      <c r="AO11" s="61">
        <f t="shared" si="19"/>
        <v>0</v>
      </c>
      <c r="AP11" s="61"/>
      <c r="AQ11" s="61"/>
      <c r="AR11" s="61"/>
      <c r="AS11" s="61" t="e">
        <f t="shared" si="20"/>
        <v>#VALUE!</v>
      </c>
      <c r="AT11" s="105"/>
      <c r="AU11" s="105"/>
      <c r="AV11" s="61" t="e">
        <f t="shared" si="21"/>
        <v>#VALUE!</v>
      </c>
      <c r="AW11" s="61" t="e">
        <f t="shared" si="11"/>
        <v>#VALUE!</v>
      </c>
      <c r="AX11" s="61" t="e">
        <f t="shared" si="5"/>
        <v>#VALUE!</v>
      </c>
      <c r="AY11" s="61" t="e">
        <f t="shared" si="12"/>
        <v>#VALUE!</v>
      </c>
      <c r="AZ11" s="61" t="e">
        <f t="shared" si="13"/>
        <v>#VALUE!</v>
      </c>
      <c r="BA11" s="61" t="e">
        <f t="shared" si="14"/>
        <v>#VALUE!</v>
      </c>
      <c r="BB11" s="61">
        <f t="shared" si="15"/>
        <v>0</v>
      </c>
      <c r="BC11" s="105"/>
      <c r="BD11" s="62" t="e">
        <f t="shared" si="16"/>
        <v>#VALUE!</v>
      </c>
      <c r="BE11" s="105"/>
      <c r="BF11" s="117" t="s">
        <v>57</v>
      </c>
    </row>
    <row r="12" spans="1:58">
      <c r="A12" s="59">
        <v>6</v>
      </c>
      <c r="B12" s="103"/>
      <c r="C12" s="104"/>
      <c r="D12" s="105"/>
      <c r="E12" s="104"/>
      <c r="F12" s="106"/>
      <c r="G12" s="107"/>
      <c r="H12" s="105"/>
      <c r="I12" s="105"/>
      <c r="J12" s="105"/>
      <c r="K12" s="105"/>
      <c r="L12" s="105"/>
      <c r="M12" s="105"/>
      <c r="N12" s="105"/>
      <c r="O12" s="105"/>
      <c r="P12" s="105"/>
      <c r="Q12" s="105"/>
      <c r="R12" s="105"/>
      <c r="S12" s="105"/>
      <c r="T12" s="105"/>
      <c r="U12" s="105"/>
      <c r="V12" s="105"/>
      <c r="W12" s="105"/>
      <c r="X12" s="105"/>
      <c r="Y12" s="105"/>
      <c r="Z12" s="105"/>
      <c r="AA12" s="105"/>
      <c r="AB12" s="105"/>
      <c r="AC12" s="105"/>
      <c r="AD12" s="105"/>
      <c r="AE12" s="105"/>
      <c r="AF12" s="105"/>
      <c r="AG12" s="105"/>
      <c r="AH12" s="105"/>
      <c r="AI12" s="105"/>
      <c r="AJ12" s="105"/>
      <c r="AK12" s="105"/>
      <c r="AL12" s="97"/>
      <c r="AM12" s="60">
        <f t="shared" si="17"/>
        <v>0</v>
      </c>
      <c r="AN12" s="61">
        <f t="shared" si="18"/>
        <v>0</v>
      </c>
      <c r="AO12" s="61">
        <f t="shared" si="19"/>
        <v>0</v>
      </c>
      <c r="AP12" s="61"/>
      <c r="AQ12" s="61"/>
      <c r="AR12" s="61"/>
      <c r="AS12" s="61" t="e">
        <f t="shared" si="20"/>
        <v>#VALUE!</v>
      </c>
      <c r="AT12" s="105"/>
      <c r="AU12" s="105"/>
      <c r="AV12" s="61" t="e">
        <f>SUM(AM12:AO12)-AS12+AT12</f>
        <v>#VALUE!</v>
      </c>
      <c r="AW12" s="61" t="e">
        <f t="shared" si="11"/>
        <v>#VALUE!</v>
      </c>
      <c r="AX12" s="61" t="e">
        <f t="shared" si="5"/>
        <v>#VALUE!</v>
      </c>
      <c r="AY12" s="61" t="e">
        <f t="shared" si="12"/>
        <v>#VALUE!</v>
      </c>
      <c r="AZ12" s="61" t="e">
        <f t="shared" si="13"/>
        <v>#VALUE!</v>
      </c>
      <c r="BA12" s="61" t="e">
        <f t="shared" si="14"/>
        <v>#VALUE!</v>
      </c>
      <c r="BB12" s="61">
        <f t="shared" si="15"/>
        <v>0</v>
      </c>
      <c r="BC12" s="105"/>
      <c r="BD12" s="62" t="e">
        <f t="shared" si="16"/>
        <v>#VALUE!</v>
      </c>
      <c r="BE12" s="105"/>
      <c r="BF12" s="117" t="s">
        <v>57</v>
      </c>
    </row>
    <row r="13" spans="1:58">
      <c r="A13" s="59">
        <v>7</v>
      </c>
      <c r="B13" s="103"/>
      <c r="C13" s="104"/>
      <c r="D13" s="105"/>
      <c r="E13" s="104"/>
      <c r="F13" s="106"/>
      <c r="G13" s="107"/>
      <c r="H13" s="105"/>
      <c r="I13" s="105"/>
      <c r="J13" s="105"/>
      <c r="K13" s="105"/>
      <c r="L13" s="105"/>
      <c r="M13" s="105"/>
      <c r="N13" s="105"/>
      <c r="O13" s="105"/>
      <c r="P13" s="105"/>
      <c r="Q13" s="105"/>
      <c r="R13" s="105"/>
      <c r="S13" s="105"/>
      <c r="T13" s="105"/>
      <c r="U13" s="105"/>
      <c r="V13" s="105"/>
      <c r="W13" s="105"/>
      <c r="X13" s="105"/>
      <c r="Y13" s="105"/>
      <c r="Z13" s="105"/>
      <c r="AA13" s="105"/>
      <c r="AB13" s="105"/>
      <c r="AC13" s="105"/>
      <c r="AD13" s="105"/>
      <c r="AE13" s="105"/>
      <c r="AF13" s="105"/>
      <c r="AG13" s="105"/>
      <c r="AH13" s="105"/>
      <c r="AI13" s="105"/>
      <c r="AJ13" s="105"/>
      <c r="AK13" s="105"/>
      <c r="AL13" s="97"/>
      <c r="AM13" s="60">
        <f t="shared" si="17"/>
        <v>0</v>
      </c>
      <c r="AN13" s="61">
        <f t="shared" si="18"/>
        <v>0</v>
      </c>
      <c r="AO13" s="61">
        <f t="shared" si="19"/>
        <v>0</v>
      </c>
      <c r="AP13" s="61"/>
      <c r="AQ13" s="61"/>
      <c r="AR13" s="61"/>
      <c r="AS13" s="61" t="e">
        <f t="shared" si="20"/>
        <v>#VALUE!</v>
      </c>
      <c r="AT13" s="105"/>
      <c r="AU13" s="105"/>
      <c r="AV13" s="61" t="e">
        <f t="shared" ref="AV13:AV14" si="22">SUM(AM13:AO13)-AS13+AT13</f>
        <v>#VALUE!</v>
      </c>
      <c r="AW13" s="61" t="e">
        <f t="shared" si="11"/>
        <v>#VALUE!</v>
      </c>
      <c r="AX13" s="61" t="e">
        <f t="shared" si="5"/>
        <v>#VALUE!</v>
      </c>
      <c r="AY13" s="61" t="e">
        <f t="shared" si="12"/>
        <v>#VALUE!</v>
      </c>
      <c r="AZ13" s="61" t="e">
        <f t="shared" si="13"/>
        <v>#VALUE!</v>
      </c>
      <c r="BA13" s="61" t="e">
        <f t="shared" si="14"/>
        <v>#VALUE!</v>
      </c>
      <c r="BB13" s="61">
        <f t="shared" si="15"/>
        <v>0</v>
      </c>
      <c r="BC13" s="105"/>
      <c r="BD13" s="62" t="e">
        <f t="shared" si="16"/>
        <v>#VALUE!</v>
      </c>
      <c r="BE13" s="105"/>
      <c r="BF13" s="117" t="s">
        <v>57</v>
      </c>
    </row>
    <row r="14" spans="1:58">
      <c r="A14" s="59">
        <v>8</v>
      </c>
      <c r="B14" s="103"/>
      <c r="C14" s="104"/>
      <c r="D14" s="105"/>
      <c r="E14" s="104"/>
      <c r="F14" s="106"/>
      <c r="G14" s="107"/>
      <c r="H14" s="105"/>
      <c r="I14" s="105"/>
      <c r="J14" s="105"/>
      <c r="K14" s="105"/>
      <c r="L14" s="105"/>
      <c r="M14" s="105"/>
      <c r="N14" s="105"/>
      <c r="O14" s="105"/>
      <c r="P14" s="105"/>
      <c r="Q14" s="105"/>
      <c r="R14" s="105"/>
      <c r="S14" s="105"/>
      <c r="T14" s="105"/>
      <c r="U14" s="105"/>
      <c r="V14" s="105"/>
      <c r="W14" s="105"/>
      <c r="X14" s="105"/>
      <c r="Y14" s="105"/>
      <c r="Z14" s="105"/>
      <c r="AA14" s="105"/>
      <c r="AB14" s="105"/>
      <c r="AC14" s="105"/>
      <c r="AD14" s="105"/>
      <c r="AE14" s="105"/>
      <c r="AF14" s="105"/>
      <c r="AG14" s="105"/>
      <c r="AH14" s="105"/>
      <c r="AI14" s="105"/>
      <c r="AJ14" s="105"/>
      <c r="AK14" s="105"/>
      <c r="AL14" s="97"/>
      <c r="AM14" s="60">
        <f t="shared" si="17"/>
        <v>0</v>
      </c>
      <c r="AN14" s="61">
        <f t="shared" si="18"/>
        <v>0</v>
      </c>
      <c r="AO14" s="61">
        <f t="shared" si="19"/>
        <v>0</v>
      </c>
      <c r="AP14" s="61"/>
      <c r="AQ14" s="61"/>
      <c r="AR14" s="61"/>
      <c r="AS14" s="61" t="e">
        <f t="shared" si="20"/>
        <v>#VALUE!</v>
      </c>
      <c r="AT14" s="105"/>
      <c r="AU14" s="105"/>
      <c r="AV14" s="61" t="e">
        <f t="shared" si="22"/>
        <v>#VALUE!</v>
      </c>
      <c r="AW14" s="61" t="e">
        <f t="shared" si="11"/>
        <v>#VALUE!</v>
      </c>
      <c r="AX14" s="61" t="e">
        <f t="shared" si="5"/>
        <v>#VALUE!</v>
      </c>
      <c r="AY14" s="61" t="e">
        <f t="shared" si="12"/>
        <v>#VALUE!</v>
      </c>
      <c r="AZ14" s="61" t="e">
        <f t="shared" si="13"/>
        <v>#VALUE!</v>
      </c>
      <c r="BA14" s="61" t="e">
        <f t="shared" si="14"/>
        <v>#VALUE!</v>
      </c>
      <c r="BB14" s="61">
        <f t="shared" si="15"/>
        <v>0</v>
      </c>
      <c r="BC14" s="105"/>
      <c r="BD14" s="62" t="e">
        <f t="shared" si="16"/>
        <v>#VALUE!</v>
      </c>
      <c r="BE14" s="105"/>
      <c r="BF14" s="117" t="s">
        <v>57</v>
      </c>
    </row>
    <row r="15" spans="1:58">
      <c r="A15" s="59">
        <v>9</v>
      </c>
      <c r="B15" s="103"/>
      <c r="C15" s="104"/>
      <c r="D15" s="105"/>
      <c r="E15" s="104"/>
      <c r="F15" s="106"/>
      <c r="G15" s="107"/>
      <c r="H15" s="105"/>
      <c r="I15" s="105"/>
      <c r="J15" s="105"/>
      <c r="K15" s="105"/>
      <c r="L15" s="105"/>
      <c r="M15" s="105"/>
      <c r="N15" s="105"/>
      <c r="O15" s="105"/>
      <c r="P15" s="105"/>
      <c r="Q15" s="105"/>
      <c r="R15" s="105"/>
      <c r="S15" s="105"/>
      <c r="T15" s="105"/>
      <c r="U15" s="105"/>
      <c r="V15" s="105"/>
      <c r="W15" s="105"/>
      <c r="X15" s="105"/>
      <c r="Y15" s="105"/>
      <c r="Z15" s="105"/>
      <c r="AA15" s="105"/>
      <c r="AB15" s="105"/>
      <c r="AC15" s="105"/>
      <c r="AD15" s="105"/>
      <c r="AE15" s="105"/>
      <c r="AF15" s="105"/>
      <c r="AG15" s="105"/>
      <c r="AH15" s="105"/>
      <c r="AI15" s="105"/>
      <c r="AJ15" s="105"/>
      <c r="AK15" s="105"/>
      <c r="AL15" s="97"/>
      <c r="AM15" s="60">
        <f t="shared" si="17"/>
        <v>0</v>
      </c>
      <c r="AN15" s="61">
        <f t="shared" si="18"/>
        <v>0</v>
      </c>
      <c r="AO15" s="61">
        <f t="shared" si="19"/>
        <v>0</v>
      </c>
      <c r="AP15" s="61"/>
      <c r="AQ15" s="61"/>
      <c r="AR15" s="61"/>
      <c r="AS15" s="61" t="e">
        <f t="shared" si="20"/>
        <v>#VALUE!</v>
      </c>
      <c r="AT15" s="105"/>
      <c r="AU15" s="105"/>
      <c r="AV15" s="61" t="e">
        <f>SUM(AM15:AO15)-AS15+AT15</f>
        <v>#VALUE!</v>
      </c>
      <c r="AW15" s="61" t="e">
        <f t="shared" si="11"/>
        <v>#VALUE!</v>
      </c>
      <c r="AX15" s="61" t="e">
        <f t="shared" si="5"/>
        <v>#VALUE!</v>
      </c>
      <c r="AY15" s="61" t="e">
        <f t="shared" si="12"/>
        <v>#VALUE!</v>
      </c>
      <c r="AZ15" s="61" t="e">
        <f t="shared" si="13"/>
        <v>#VALUE!</v>
      </c>
      <c r="BA15" s="61" t="e">
        <f t="shared" si="14"/>
        <v>#VALUE!</v>
      </c>
      <c r="BB15" s="61">
        <f t="shared" si="15"/>
        <v>0</v>
      </c>
      <c r="BC15" s="105"/>
      <c r="BD15" s="62" t="e">
        <f t="shared" si="16"/>
        <v>#VALUE!</v>
      </c>
      <c r="BE15" s="105"/>
      <c r="BF15" s="117" t="s">
        <v>57</v>
      </c>
    </row>
    <row r="16" spans="1:58">
      <c r="A16" s="59">
        <v>10</v>
      </c>
      <c r="B16" s="103"/>
      <c r="C16" s="104"/>
      <c r="D16" s="105"/>
      <c r="E16" s="104"/>
      <c r="F16" s="106"/>
      <c r="G16" s="107"/>
      <c r="H16" s="105"/>
      <c r="I16" s="105"/>
      <c r="J16" s="105"/>
      <c r="K16" s="105"/>
      <c r="L16" s="105"/>
      <c r="M16" s="105"/>
      <c r="N16" s="105"/>
      <c r="O16" s="105"/>
      <c r="P16" s="105"/>
      <c r="Q16" s="105"/>
      <c r="R16" s="105"/>
      <c r="S16" s="105"/>
      <c r="T16" s="105"/>
      <c r="U16" s="105"/>
      <c r="V16" s="105"/>
      <c r="W16" s="105"/>
      <c r="X16" s="105"/>
      <c r="Y16" s="105"/>
      <c r="Z16" s="105"/>
      <c r="AA16" s="105"/>
      <c r="AB16" s="105"/>
      <c r="AC16" s="105"/>
      <c r="AD16" s="105"/>
      <c r="AE16" s="105"/>
      <c r="AF16" s="105"/>
      <c r="AG16" s="105"/>
      <c r="AH16" s="105"/>
      <c r="AI16" s="105"/>
      <c r="AJ16" s="105"/>
      <c r="AK16" s="105"/>
      <c r="AL16" s="97"/>
      <c r="AM16" s="60">
        <f t="shared" si="17"/>
        <v>0</v>
      </c>
      <c r="AN16" s="61">
        <f t="shared" si="18"/>
        <v>0</v>
      </c>
      <c r="AO16" s="61">
        <f t="shared" si="19"/>
        <v>0</v>
      </c>
      <c r="AP16" s="61"/>
      <c r="AQ16" s="61"/>
      <c r="AR16" s="61"/>
      <c r="AS16" s="61" t="e">
        <f t="shared" si="20"/>
        <v>#VALUE!</v>
      </c>
      <c r="AT16" s="105"/>
      <c r="AU16" s="105"/>
      <c r="AV16" s="61" t="e">
        <f t="shared" ref="AV16:AV17" si="23">SUM(AM16:AO16)-AS16+AT16</f>
        <v>#VALUE!</v>
      </c>
      <c r="AW16" s="61" t="e">
        <f t="shared" si="11"/>
        <v>#VALUE!</v>
      </c>
      <c r="AX16" s="61" t="e">
        <f t="shared" si="5"/>
        <v>#VALUE!</v>
      </c>
      <c r="AY16" s="61" t="e">
        <f t="shared" si="12"/>
        <v>#VALUE!</v>
      </c>
      <c r="AZ16" s="61" t="e">
        <f t="shared" si="13"/>
        <v>#VALUE!</v>
      </c>
      <c r="BA16" s="61" t="e">
        <f t="shared" si="14"/>
        <v>#VALUE!</v>
      </c>
      <c r="BB16" s="61">
        <f t="shared" si="15"/>
        <v>0</v>
      </c>
      <c r="BC16" s="105"/>
      <c r="BD16" s="62" t="e">
        <f t="shared" si="16"/>
        <v>#VALUE!</v>
      </c>
      <c r="BE16" s="105"/>
      <c r="BF16" s="117" t="s">
        <v>57</v>
      </c>
    </row>
    <row r="17" spans="1:58">
      <c r="A17" s="59">
        <v>11</v>
      </c>
      <c r="B17" s="103"/>
      <c r="C17" s="104"/>
      <c r="D17" s="105"/>
      <c r="E17" s="104"/>
      <c r="F17" s="106"/>
      <c r="G17" s="107"/>
      <c r="H17" s="105"/>
      <c r="I17" s="105"/>
      <c r="J17" s="105"/>
      <c r="K17" s="105"/>
      <c r="L17" s="105"/>
      <c r="M17" s="105"/>
      <c r="N17" s="105"/>
      <c r="O17" s="105"/>
      <c r="P17" s="105"/>
      <c r="Q17" s="105"/>
      <c r="R17" s="105"/>
      <c r="S17" s="105"/>
      <c r="T17" s="105"/>
      <c r="U17" s="105"/>
      <c r="V17" s="105"/>
      <c r="W17" s="105"/>
      <c r="X17" s="105"/>
      <c r="Y17" s="105"/>
      <c r="Z17" s="105"/>
      <c r="AA17" s="105"/>
      <c r="AB17" s="105"/>
      <c r="AC17" s="105"/>
      <c r="AD17" s="105"/>
      <c r="AE17" s="105"/>
      <c r="AF17" s="105"/>
      <c r="AG17" s="105"/>
      <c r="AH17" s="105"/>
      <c r="AI17" s="105"/>
      <c r="AJ17" s="105"/>
      <c r="AK17" s="105"/>
      <c r="AL17" s="97"/>
      <c r="AM17" s="60">
        <f t="shared" si="17"/>
        <v>0</v>
      </c>
      <c r="AN17" s="61">
        <f t="shared" si="18"/>
        <v>0</v>
      </c>
      <c r="AO17" s="61">
        <f t="shared" si="19"/>
        <v>0</v>
      </c>
      <c r="AP17" s="61"/>
      <c r="AQ17" s="61"/>
      <c r="AR17" s="61"/>
      <c r="AS17" s="61" t="e">
        <f t="shared" si="20"/>
        <v>#VALUE!</v>
      </c>
      <c r="AT17" s="105"/>
      <c r="AU17" s="105"/>
      <c r="AV17" s="61" t="e">
        <f t="shared" si="23"/>
        <v>#VALUE!</v>
      </c>
      <c r="AW17" s="61" t="e">
        <f t="shared" si="11"/>
        <v>#VALUE!</v>
      </c>
      <c r="AX17" s="61" t="e">
        <f t="shared" si="5"/>
        <v>#VALUE!</v>
      </c>
      <c r="AY17" s="61" t="e">
        <f t="shared" si="12"/>
        <v>#VALUE!</v>
      </c>
      <c r="AZ17" s="61" t="e">
        <f t="shared" si="13"/>
        <v>#VALUE!</v>
      </c>
      <c r="BA17" s="61" t="e">
        <f t="shared" si="14"/>
        <v>#VALUE!</v>
      </c>
      <c r="BB17" s="61">
        <f t="shared" si="15"/>
        <v>0</v>
      </c>
      <c r="BC17" s="105"/>
      <c r="BD17" s="62" t="e">
        <f t="shared" si="16"/>
        <v>#VALUE!</v>
      </c>
      <c r="BE17" s="105"/>
      <c r="BF17" s="117" t="s">
        <v>57</v>
      </c>
    </row>
    <row r="18" spans="1:58">
      <c r="A18" s="59">
        <v>12</v>
      </c>
      <c r="B18" s="103"/>
      <c r="C18" s="104"/>
      <c r="D18" s="105"/>
      <c r="E18" s="104"/>
      <c r="F18" s="106"/>
      <c r="G18" s="107"/>
      <c r="H18" s="105"/>
      <c r="I18" s="105"/>
      <c r="J18" s="105"/>
      <c r="K18" s="105"/>
      <c r="L18" s="105"/>
      <c r="M18" s="105"/>
      <c r="N18" s="105"/>
      <c r="O18" s="105"/>
      <c r="P18" s="105"/>
      <c r="Q18" s="105"/>
      <c r="R18" s="105"/>
      <c r="S18" s="105"/>
      <c r="T18" s="105"/>
      <c r="U18" s="105"/>
      <c r="V18" s="105"/>
      <c r="W18" s="105"/>
      <c r="X18" s="105"/>
      <c r="Y18" s="105"/>
      <c r="Z18" s="105"/>
      <c r="AA18" s="105"/>
      <c r="AB18" s="105"/>
      <c r="AC18" s="105"/>
      <c r="AD18" s="105"/>
      <c r="AE18" s="105"/>
      <c r="AF18" s="105"/>
      <c r="AG18" s="105"/>
      <c r="AH18" s="105"/>
      <c r="AI18" s="105"/>
      <c r="AJ18" s="105"/>
      <c r="AK18" s="105"/>
      <c r="AL18" s="97"/>
      <c r="AM18" s="60">
        <f t="shared" si="17"/>
        <v>0</v>
      </c>
      <c r="AN18" s="61">
        <f t="shared" si="18"/>
        <v>0</v>
      </c>
      <c r="AO18" s="61">
        <f t="shared" si="19"/>
        <v>0</v>
      </c>
      <c r="AP18" s="61"/>
      <c r="AQ18" s="61"/>
      <c r="AR18" s="61"/>
      <c r="AS18" s="61" t="e">
        <f t="shared" si="20"/>
        <v>#VALUE!</v>
      </c>
      <c r="AT18" s="105"/>
      <c r="AU18" s="105"/>
      <c r="AV18" s="61" t="e">
        <f t="shared" ref="AV18:AV19" si="24">SUM(AM18:AO18)-AS18+AT18</f>
        <v>#VALUE!</v>
      </c>
      <c r="AW18" s="61" t="e">
        <f t="shared" si="11"/>
        <v>#VALUE!</v>
      </c>
      <c r="AX18" s="61" t="e">
        <f t="shared" si="5"/>
        <v>#VALUE!</v>
      </c>
      <c r="AY18" s="61" t="e">
        <f t="shared" si="12"/>
        <v>#VALUE!</v>
      </c>
      <c r="AZ18" s="61" t="e">
        <f t="shared" si="13"/>
        <v>#VALUE!</v>
      </c>
      <c r="BA18" s="61" t="e">
        <f t="shared" si="14"/>
        <v>#VALUE!</v>
      </c>
      <c r="BB18" s="61">
        <f t="shared" si="15"/>
        <v>0</v>
      </c>
      <c r="BC18" s="105"/>
      <c r="BD18" s="62" t="e">
        <f t="shared" si="16"/>
        <v>#VALUE!</v>
      </c>
      <c r="BE18" s="105"/>
      <c r="BF18" s="117" t="s">
        <v>57</v>
      </c>
    </row>
    <row r="19" spans="1:58">
      <c r="A19" s="59">
        <v>13</v>
      </c>
      <c r="B19" s="103"/>
      <c r="C19" s="104"/>
      <c r="D19" s="105"/>
      <c r="E19" s="104"/>
      <c r="F19" s="106"/>
      <c r="G19" s="107"/>
      <c r="H19" s="105"/>
      <c r="I19" s="105"/>
      <c r="J19" s="105"/>
      <c r="K19" s="105"/>
      <c r="L19" s="105"/>
      <c r="M19" s="105"/>
      <c r="N19" s="105"/>
      <c r="O19" s="105"/>
      <c r="P19" s="105"/>
      <c r="Q19" s="105"/>
      <c r="R19" s="105"/>
      <c r="S19" s="105"/>
      <c r="T19" s="105"/>
      <c r="U19" s="105"/>
      <c r="V19" s="105"/>
      <c r="W19" s="105"/>
      <c r="X19" s="105"/>
      <c r="Y19" s="105"/>
      <c r="Z19" s="105"/>
      <c r="AA19" s="105"/>
      <c r="AB19" s="105"/>
      <c r="AC19" s="105"/>
      <c r="AD19" s="105"/>
      <c r="AE19" s="105"/>
      <c r="AF19" s="105"/>
      <c r="AG19" s="105"/>
      <c r="AH19" s="105"/>
      <c r="AI19" s="105"/>
      <c r="AJ19" s="105"/>
      <c r="AK19" s="105"/>
      <c r="AL19" s="97"/>
      <c r="AM19" s="60">
        <f t="shared" si="17"/>
        <v>0</v>
      </c>
      <c r="AN19" s="61">
        <f t="shared" si="18"/>
        <v>0</v>
      </c>
      <c r="AO19" s="61">
        <f t="shared" si="19"/>
        <v>0</v>
      </c>
      <c r="AP19" s="61"/>
      <c r="AQ19" s="61"/>
      <c r="AR19" s="61"/>
      <c r="AS19" s="61" t="e">
        <f t="shared" si="20"/>
        <v>#VALUE!</v>
      </c>
      <c r="AT19" s="105"/>
      <c r="AU19" s="105"/>
      <c r="AV19" s="61" t="e">
        <f t="shared" si="24"/>
        <v>#VALUE!</v>
      </c>
      <c r="AW19" s="61" t="e">
        <f t="shared" si="11"/>
        <v>#VALUE!</v>
      </c>
      <c r="AX19" s="61" t="e">
        <f t="shared" si="5"/>
        <v>#VALUE!</v>
      </c>
      <c r="AY19" s="61" t="e">
        <f t="shared" si="12"/>
        <v>#VALUE!</v>
      </c>
      <c r="AZ19" s="61" t="e">
        <f t="shared" si="13"/>
        <v>#VALUE!</v>
      </c>
      <c r="BA19" s="61" t="e">
        <f t="shared" si="14"/>
        <v>#VALUE!</v>
      </c>
      <c r="BB19" s="61">
        <f t="shared" si="15"/>
        <v>0</v>
      </c>
      <c r="BC19" s="105"/>
      <c r="BD19" s="62" t="e">
        <f t="shared" si="16"/>
        <v>#VALUE!</v>
      </c>
      <c r="BE19" s="105"/>
      <c r="BF19" s="117" t="s">
        <v>57</v>
      </c>
    </row>
    <row r="20" spans="1:58">
      <c r="A20" s="59">
        <v>14</v>
      </c>
      <c r="B20" s="103"/>
      <c r="C20" s="104"/>
      <c r="D20" s="105"/>
      <c r="E20" s="104"/>
      <c r="F20" s="106"/>
      <c r="G20" s="107"/>
      <c r="H20" s="105"/>
      <c r="I20" s="105"/>
      <c r="J20" s="105"/>
      <c r="K20" s="105"/>
      <c r="L20" s="105"/>
      <c r="M20" s="105"/>
      <c r="N20" s="105"/>
      <c r="O20" s="105"/>
      <c r="P20" s="105"/>
      <c r="Q20" s="105"/>
      <c r="R20" s="105"/>
      <c r="S20" s="105"/>
      <c r="T20" s="105"/>
      <c r="U20" s="105"/>
      <c r="V20" s="105"/>
      <c r="W20" s="105"/>
      <c r="X20" s="105"/>
      <c r="Y20" s="105"/>
      <c r="Z20" s="105"/>
      <c r="AA20" s="105"/>
      <c r="AB20" s="105"/>
      <c r="AC20" s="105"/>
      <c r="AD20" s="105"/>
      <c r="AE20" s="105"/>
      <c r="AF20" s="105"/>
      <c r="AG20" s="105"/>
      <c r="AH20" s="105"/>
      <c r="AI20" s="105"/>
      <c r="AJ20" s="105"/>
      <c r="AK20" s="105"/>
      <c r="AL20" s="97"/>
      <c r="AM20" s="60">
        <f t="shared" si="17"/>
        <v>0</v>
      </c>
      <c r="AN20" s="61">
        <f t="shared" si="18"/>
        <v>0</v>
      </c>
      <c r="AO20" s="61">
        <f t="shared" si="19"/>
        <v>0</v>
      </c>
      <c r="AP20" s="61"/>
      <c r="AQ20" s="61"/>
      <c r="AR20" s="61"/>
      <c r="AS20" s="61" t="e">
        <f t="shared" si="20"/>
        <v>#VALUE!</v>
      </c>
      <c r="AT20" s="105"/>
      <c r="AU20" s="105"/>
      <c r="AV20" s="61" t="e">
        <f t="shared" ref="AV20:AV21" si="25">SUM(AM20:AO20)-AS20+AT20</f>
        <v>#VALUE!</v>
      </c>
      <c r="AW20" s="61" t="e">
        <f t="shared" si="11"/>
        <v>#VALUE!</v>
      </c>
      <c r="AX20" s="61" t="e">
        <f t="shared" si="5"/>
        <v>#VALUE!</v>
      </c>
      <c r="AY20" s="61" t="e">
        <f t="shared" si="12"/>
        <v>#VALUE!</v>
      </c>
      <c r="AZ20" s="61" t="e">
        <f t="shared" si="13"/>
        <v>#VALUE!</v>
      </c>
      <c r="BA20" s="61" t="e">
        <f t="shared" si="14"/>
        <v>#VALUE!</v>
      </c>
      <c r="BB20" s="61">
        <f t="shared" si="15"/>
        <v>0</v>
      </c>
      <c r="BC20" s="105"/>
      <c r="BD20" s="62" t="e">
        <f t="shared" si="16"/>
        <v>#VALUE!</v>
      </c>
      <c r="BE20" s="105"/>
      <c r="BF20" s="117" t="s">
        <v>57</v>
      </c>
    </row>
    <row r="21" spans="1:58">
      <c r="A21" s="59">
        <v>15</v>
      </c>
      <c r="B21" s="103"/>
      <c r="C21" s="104"/>
      <c r="D21" s="105"/>
      <c r="E21" s="104"/>
      <c r="F21" s="106"/>
      <c r="G21" s="107"/>
      <c r="H21" s="105"/>
      <c r="I21" s="105"/>
      <c r="J21" s="105"/>
      <c r="K21" s="105"/>
      <c r="L21" s="105"/>
      <c r="M21" s="105"/>
      <c r="N21" s="105"/>
      <c r="O21" s="105"/>
      <c r="P21" s="105"/>
      <c r="Q21" s="105"/>
      <c r="R21" s="105"/>
      <c r="S21" s="105"/>
      <c r="T21" s="105"/>
      <c r="U21" s="105"/>
      <c r="V21" s="105"/>
      <c r="W21" s="105"/>
      <c r="X21" s="105"/>
      <c r="Y21" s="105"/>
      <c r="Z21" s="105"/>
      <c r="AA21" s="105"/>
      <c r="AB21" s="105"/>
      <c r="AC21" s="105"/>
      <c r="AD21" s="105"/>
      <c r="AE21" s="105"/>
      <c r="AF21" s="105"/>
      <c r="AG21" s="105"/>
      <c r="AH21" s="105"/>
      <c r="AI21" s="105"/>
      <c r="AJ21" s="105"/>
      <c r="AK21" s="105"/>
      <c r="AL21" s="97"/>
      <c r="AM21" s="60">
        <f t="shared" si="17"/>
        <v>0</v>
      </c>
      <c r="AN21" s="61">
        <f t="shared" si="18"/>
        <v>0</v>
      </c>
      <c r="AO21" s="61">
        <f t="shared" si="19"/>
        <v>0</v>
      </c>
      <c r="AP21" s="61"/>
      <c r="AQ21" s="61"/>
      <c r="AR21" s="61"/>
      <c r="AS21" s="61" t="e">
        <f t="shared" si="20"/>
        <v>#VALUE!</v>
      </c>
      <c r="AT21" s="105"/>
      <c r="AU21" s="105"/>
      <c r="AV21" s="61" t="e">
        <f t="shared" si="25"/>
        <v>#VALUE!</v>
      </c>
      <c r="AW21" s="61" t="e">
        <f t="shared" si="11"/>
        <v>#VALUE!</v>
      </c>
      <c r="AX21" s="61" t="e">
        <f t="shared" si="5"/>
        <v>#VALUE!</v>
      </c>
      <c r="AY21" s="61" t="e">
        <f t="shared" si="12"/>
        <v>#VALUE!</v>
      </c>
      <c r="AZ21" s="61" t="e">
        <f t="shared" si="13"/>
        <v>#VALUE!</v>
      </c>
      <c r="BA21" s="61" t="e">
        <f t="shared" si="14"/>
        <v>#VALUE!</v>
      </c>
      <c r="BB21" s="61">
        <f t="shared" si="15"/>
        <v>0</v>
      </c>
      <c r="BC21" s="105"/>
      <c r="BD21" s="62" t="e">
        <f t="shared" si="16"/>
        <v>#VALUE!</v>
      </c>
      <c r="BE21" s="105"/>
      <c r="BF21" s="117" t="s">
        <v>57</v>
      </c>
    </row>
    <row r="22" spans="1:58">
      <c r="A22" s="59">
        <v>16</v>
      </c>
      <c r="B22" s="103"/>
      <c r="C22" s="104"/>
      <c r="D22" s="105"/>
      <c r="E22" s="104"/>
      <c r="F22" s="106"/>
      <c r="G22" s="107"/>
      <c r="H22" s="105"/>
      <c r="I22" s="105"/>
      <c r="J22" s="105"/>
      <c r="K22" s="105"/>
      <c r="L22" s="105"/>
      <c r="M22" s="105"/>
      <c r="N22" s="105"/>
      <c r="O22" s="105"/>
      <c r="P22" s="105"/>
      <c r="Q22" s="105"/>
      <c r="R22" s="105"/>
      <c r="S22" s="105"/>
      <c r="T22" s="105"/>
      <c r="U22" s="105"/>
      <c r="V22" s="105"/>
      <c r="W22" s="105"/>
      <c r="X22" s="105"/>
      <c r="Y22" s="105"/>
      <c r="Z22" s="105"/>
      <c r="AA22" s="105"/>
      <c r="AB22" s="105"/>
      <c r="AC22" s="105"/>
      <c r="AD22" s="105"/>
      <c r="AE22" s="105"/>
      <c r="AF22" s="105"/>
      <c r="AG22" s="105"/>
      <c r="AH22" s="105"/>
      <c r="AI22" s="105"/>
      <c r="AJ22" s="105"/>
      <c r="AK22" s="105"/>
      <c r="AL22" s="97"/>
      <c r="AM22" s="60">
        <f t="shared" ref="AM22:AM36" si="26">COUNTIFS(G22:AK22,"早12",$G$4:$AK$4,"&lt;="&amp;$D$2)*12</f>
        <v>0</v>
      </c>
      <c r="AN22" s="61">
        <f t="shared" ref="AN22:AN36" si="27">COUNTIFS(G22:AK22,"夜12",$G$4:$AK$4,"&lt;="&amp;$D$2)*12</f>
        <v>0</v>
      </c>
      <c r="AO22" s="61">
        <f t="shared" ref="AO22:AO36" si="28">COUNTIFS(G22:AK22,"日8",$G$4:$AK$4,"&lt;="&amp;$D$2)*8</f>
        <v>0</v>
      </c>
      <c r="AP22" s="61"/>
      <c r="AQ22" s="61"/>
      <c r="AR22" s="61"/>
      <c r="AS22" s="61" t="e">
        <f t="shared" ref="AS22:AS36" si="29">COUNTIFS(G22:AK22,"早12",$G$4:$AK$4,"&lt;="&amp;$D$2,$G$5:$AK$5,"PH")*12+COUNTIFS(G22:AK22,"日8",$G$4:$AK$4,"&lt;="&amp;$D$2,$G$5:$AK$5,"PH")*8+COUNTIFS(G22:AK22,"夜12",$G$4:$AK$4,"&lt;="&amp;$D$2,$G$5:$AK$5,"PH")*4+
IF(AND(G22="夜12",$H$5="PH",$G$4&lt;=$D$2),8,0)+IF(AND(H22="夜12",$I$5="PH",$H$4&lt;=$D$2),8,0)+IF(AND(I22="夜12",$J$5="PH",$I$4&lt;=$D$2),8,0)+IF(AND(J22="夜12",$K$5="PH",$J$4&lt;=$D$2),8,0)+IF(AND(K22="夜12",$L$5="PH",$K$4&lt;=$D$2),8,0)+IF(AND(L22="夜12",$M$5="PH",$L$4&lt;=$D$2),8,0)+IF(AND(M22="夜12",$N$5="PH",$M$4&lt;=$D$2),8,0)+IF(AND(N22="夜12",$O$5="PH",$N$4&lt;=$D$2),8,0)+IF(AND(O22="夜12",$P$5="PH",$O$4&lt;=$D$2),8,0)+IF(AND(P22="夜12",$Q$5="PH",$P$4&lt;=$D$2),8,0)+IF(AND(Q22="夜12",$R$5="PH",$Q$4&lt;=$D$2),8,0)+IF(AND(R22="夜12",$S$5="PH",$R$4&lt;=$D$2),8,0)+IF(AND(S22="夜12",$T$5="PH",$S$4&lt;=$D$2),8,0)+IF(AND(T22="夜12",$U$5="PH",$T$4&lt;=$D$2),8,0)+IF(AND(U22="夜12",$V$5="PH",$U$4&lt;=$D$2),8,0)+IF(AND(V22="夜12",$W$5="PH",$V$4&lt;=$D$2),8,0)+IF(AND(W22="夜12",$X$5="PH",$W$4&lt;=$D$2),8,0)+IF(AND(X22="夜12",$Y$5="PH",$X$4&lt;=$D$2),8,0)+IF(AND(Y22="夜12",$Z$5="PH",$Y$4&lt;=$D$2),8,0)+IF(AND(Z22="夜12",$AA$5="PH",$Z$4&lt;=$D$2),8,0)+IF(AND(AA22="夜12",$AB$5="PH",$AA$4&lt;=$D$2),8,0)+IF(AND(AB22="夜12",$AC$5="PH",$AB$4&lt;=$D$2),8,0)+IF(AND(AC22="夜12",$AD$5="PH",$AC$4&lt;=$D$2),8,0)+IF(AND(AD22="夜12",$AE$5="PH",$AD$4&lt;=$D$2),8,0)+IF(AND(AE22="夜12",$AF$5="PH",$AE$4&lt;=$D$2),8,0)+IF(AND(AF22="夜12",$AG$5="PH",$AF$4&lt;=$D$2),8,0)+IF(AND(AG22="夜12",$AH$5="PH",$AG$4&lt;=$D$2),8,0)+IF(AND(AH22="夜12",$AI$5="PH",$AH$4&lt;=$D$2),8,0)+IF(AND(AI22="夜12",$AJ$5="PH",$AI$4&lt;=$D$2),8,0)+IF(AND(AJ22="夜12",$AK$5="PH",$AJ$4&lt;=$D$2),8,0)+IF(AND(AK22="夜12",$AL$5="PH",$AK$4&lt;=$D$2),8,0)</f>
        <v>#VALUE!</v>
      </c>
      <c r="AT22" s="105"/>
      <c r="AU22" s="105"/>
      <c r="AV22" s="61" t="e">
        <f t="shared" ref="AV22:AV36" si="30">SUM(AM22:AO22)-AS22+AT22</f>
        <v>#VALUE!</v>
      </c>
      <c r="AW22" s="61" t="e">
        <f t="shared" ref="AW22:AW36" si="31">AV22/8</f>
        <v>#VALUE!</v>
      </c>
      <c r="AX22" s="61" t="e">
        <f t="shared" si="5"/>
        <v>#VALUE!</v>
      </c>
      <c r="AY22" s="61" t="e">
        <f t="shared" ref="AY22:AY36" si="32">ROUND(IF(AW22&gt;=AX22,AX22,AW22)*D22,2)</f>
        <v>#VALUE!</v>
      </c>
      <c r="AZ22" s="61" t="e">
        <f t="shared" ref="AZ22:AZ36" si="33">ROUND(IF((AW22-AX22)*1.5*D22&lt;0,0,(AW22-AX22)*1.5*D22),2)</f>
        <v>#VALUE!</v>
      </c>
      <c r="BA22" s="61" t="e">
        <f t="shared" ref="BA22:BA36" si="34">ROUND(D22/8*(AS22+AU22)*3,2)</f>
        <v>#VALUE!</v>
      </c>
      <c r="BB22" s="61">
        <f t="shared" ref="BB22:BB36" si="35">COUNTIFS(G22:AK22,"早12",$G$4:$AK$4,"&lt;="&amp;$D$2)*50+COUNTIFS(G22:AK22,"夜12",$G$4:$AK$4,"&lt;="&amp;$D$2)*50</f>
        <v>0</v>
      </c>
      <c r="BC22" s="105"/>
      <c r="BD22" s="62" t="e">
        <f t="shared" ref="BD22:BD36" si="36">SUM(AY22:BC22)</f>
        <v>#VALUE!</v>
      </c>
      <c r="BE22" s="105"/>
      <c r="BF22" s="117" t="s">
        <v>57</v>
      </c>
    </row>
    <row r="23" spans="1:58">
      <c r="A23" s="59">
        <v>17</v>
      </c>
      <c r="B23" s="103"/>
      <c r="C23" s="104"/>
      <c r="D23" s="105"/>
      <c r="E23" s="104"/>
      <c r="F23" s="106"/>
      <c r="G23" s="107"/>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7"/>
      <c r="AM23" s="60">
        <f t="shared" si="26"/>
        <v>0</v>
      </c>
      <c r="AN23" s="61">
        <f t="shared" si="27"/>
        <v>0</v>
      </c>
      <c r="AO23" s="61">
        <f t="shared" si="28"/>
        <v>0</v>
      </c>
      <c r="AP23" s="61"/>
      <c r="AQ23" s="61"/>
      <c r="AR23" s="61"/>
      <c r="AS23" s="61" t="e">
        <f t="shared" si="29"/>
        <v>#VALUE!</v>
      </c>
      <c r="AT23" s="105"/>
      <c r="AU23" s="105"/>
      <c r="AV23" s="61" t="e">
        <f t="shared" si="30"/>
        <v>#VALUE!</v>
      </c>
      <c r="AW23" s="61" t="e">
        <f t="shared" si="31"/>
        <v>#VALUE!</v>
      </c>
      <c r="AX23" s="61" t="e">
        <f t="shared" si="5"/>
        <v>#VALUE!</v>
      </c>
      <c r="AY23" s="61" t="e">
        <f t="shared" si="32"/>
        <v>#VALUE!</v>
      </c>
      <c r="AZ23" s="61" t="e">
        <f t="shared" si="33"/>
        <v>#VALUE!</v>
      </c>
      <c r="BA23" s="61" t="e">
        <f t="shared" si="34"/>
        <v>#VALUE!</v>
      </c>
      <c r="BB23" s="61">
        <f t="shared" si="35"/>
        <v>0</v>
      </c>
      <c r="BC23" s="105"/>
      <c r="BD23" s="62" t="e">
        <f t="shared" si="36"/>
        <v>#VALUE!</v>
      </c>
      <c r="BE23" s="105"/>
      <c r="BF23" s="117" t="s">
        <v>57</v>
      </c>
    </row>
    <row r="24" spans="1:58">
      <c r="A24" s="59">
        <v>18</v>
      </c>
      <c r="B24" s="103"/>
      <c r="C24" s="104"/>
      <c r="D24" s="105"/>
      <c r="E24" s="104"/>
      <c r="F24" s="106"/>
      <c r="G24" s="107"/>
      <c r="H24" s="105"/>
      <c r="I24" s="105"/>
      <c r="J24" s="105"/>
      <c r="K24" s="105"/>
      <c r="L24" s="105"/>
      <c r="M24" s="105"/>
      <c r="N24" s="105"/>
      <c r="O24" s="105"/>
      <c r="P24" s="105"/>
      <c r="Q24" s="105"/>
      <c r="R24" s="105"/>
      <c r="S24" s="105"/>
      <c r="T24" s="105"/>
      <c r="U24" s="105"/>
      <c r="V24" s="105"/>
      <c r="W24" s="105"/>
      <c r="X24" s="105"/>
      <c r="Y24" s="105"/>
      <c r="Z24" s="105"/>
      <c r="AA24" s="105"/>
      <c r="AB24" s="105"/>
      <c r="AC24" s="105"/>
      <c r="AD24" s="105"/>
      <c r="AE24" s="105"/>
      <c r="AF24" s="105"/>
      <c r="AG24" s="105"/>
      <c r="AH24" s="105"/>
      <c r="AI24" s="105"/>
      <c r="AJ24" s="105"/>
      <c r="AK24" s="105"/>
      <c r="AL24" s="97"/>
      <c r="AM24" s="60">
        <f t="shared" si="26"/>
        <v>0</v>
      </c>
      <c r="AN24" s="61">
        <f t="shared" si="27"/>
        <v>0</v>
      </c>
      <c r="AO24" s="61">
        <f t="shared" si="28"/>
        <v>0</v>
      </c>
      <c r="AP24" s="61"/>
      <c r="AQ24" s="61"/>
      <c r="AR24" s="61"/>
      <c r="AS24" s="61" t="e">
        <f t="shared" si="29"/>
        <v>#VALUE!</v>
      </c>
      <c r="AT24" s="105"/>
      <c r="AU24" s="105"/>
      <c r="AV24" s="61" t="e">
        <f t="shared" si="30"/>
        <v>#VALUE!</v>
      </c>
      <c r="AW24" s="61" t="e">
        <f t="shared" si="31"/>
        <v>#VALUE!</v>
      </c>
      <c r="AX24" s="61" t="e">
        <f t="shared" si="5"/>
        <v>#VALUE!</v>
      </c>
      <c r="AY24" s="61" t="e">
        <f t="shared" si="32"/>
        <v>#VALUE!</v>
      </c>
      <c r="AZ24" s="61" t="e">
        <f t="shared" si="33"/>
        <v>#VALUE!</v>
      </c>
      <c r="BA24" s="61" t="e">
        <f t="shared" si="34"/>
        <v>#VALUE!</v>
      </c>
      <c r="BB24" s="61">
        <f t="shared" si="35"/>
        <v>0</v>
      </c>
      <c r="BC24" s="105"/>
      <c r="BD24" s="62" t="e">
        <f t="shared" si="36"/>
        <v>#VALUE!</v>
      </c>
      <c r="BE24" s="105"/>
      <c r="BF24" s="117" t="s">
        <v>57</v>
      </c>
    </row>
    <row r="25" spans="1:58">
      <c r="A25" s="59">
        <v>19</v>
      </c>
      <c r="B25" s="103"/>
      <c r="C25" s="104"/>
      <c r="D25" s="105"/>
      <c r="E25" s="104"/>
      <c r="F25" s="106"/>
      <c r="G25" s="107"/>
      <c r="H25" s="105"/>
      <c r="I25" s="105"/>
      <c r="J25" s="105"/>
      <c r="K25" s="105"/>
      <c r="L25" s="105"/>
      <c r="M25" s="105"/>
      <c r="N25" s="105"/>
      <c r="O25" s="105"/>
      <c r="P25" s="105"/>
      <c r="Q25" s="105"/>
      <c r="R25" s="105"/>
      <c r="S25" s="105"/>
      <c r="T25" s="105"/>
      <c r="U25" s="105"/>
      <c r="V25" s="105"/>
      <c r="W25" s="105"/>
      <c r="X25" s="105"/>
      <c r="Y25" s="105"/>
      <c r="Z25" s="105"/>
      <c r="AA25" s="105"/>
      <c r="AB25" s="105"/>
      <c r="AC25" s="105"/>
      <c r="AD25" s="105"/>
      <c r="AE25" s="105"/>
      <c r="AF25" s="105"/>
      <c r="AG25" s="105"/>
      <c r="AH25" s="105"/>
      <c r="AI25" s="105"/>
      <c r="AJ25" s="105"/>
      <c r="AK25" s="105"/>
      <c r="AL25" s="97"/>
      <c r="AM25" s="60">
        <f t="shared" si="26"/>
        <v>0</v>
      </c>
      <c r="AN25" s="61">
        <f t="shared" si="27"/>
        <v>0</v>
      </c>
      <c r="AO25" s="61">
        <f t="shared" si="28"/>
        <v>0</v>
      </c>
      <c r="AP25" s="61"/>
      <c r="AQ25" s="61"/>
      <c r="AR25" s="61"/>
      <c r="AS25" s="61" t="e">
        <f t="shared" si="29"/>
        <v>#VALUE!</v>
      </c>
      <c r="AT25" s="105"/>
      <c r="AU25" s="105"/>
      <c r="AV25" s="61" t="e">
        <f t="shared" si="30"/>
        <v>#VALUE!</v>
      </c>
      <c r="AW25" s="61" t="e">
        <f t="shared" si="31"/>
        <v>#VALUE!</v>
      </c>
      <c r="AX25" s="61" t="e">
        <f t="shared" si="5"/>
        <v>#VALUE!</v>
      </c>
      <c r="AY25" s="61" t="e">
        <f t="shared" si="32"/>
        <v>#VALUE!</v>
      </c>
      <c r="AZ25" s="61" t="e">
        <f t="shared" si="33"/>
        <v>#VALUE!</v>
      </c>
      <c r="BA25" s="61" t="e">
        <f t="shared" si="34"/>
        <v>#VALUE!</v>
      </c>
      <c r="BB25" s="61">
        <f t="shared" si="35"/>
        <v>0</v>
      </c>
      <c r="BC25" s="105"/>
      <c r="BD25" s="62" t="e">
        <f t="shared" si="36"/>
        <v>#VALUE!</v>
      </c>
      <c r="BE25" s="105"/>
      <c r="BF25" s="117" t="s">
        <v>57</v>
      </c>
    </row>
    <row r="26" spans="1:58">
      <c r="A26" s="59">
        <v>20</v>
      </c>
      <c r="B26" s="103"/>
      <c r="C26" s="104"/>
      <c r="D26" s="105"/>
      <c r="E26" s="104"/>
      <c r="F26" s="106"/>
      <c r="G26" s="107"/>
      <c r="H26" s="105"/>
      <c r="I26" s="105"/>
      <c r="J26" s="105"/>
      <c r="K26" s="105"/>
      <c r="L26" s="105"/>
      <c r="M26" s="105"/>
      <c r="N26" s="105"/>
      <c r="O26" s="105"/>
      <c r="P26" s="105"/>
      <c r="Q26" s="105"/>
      <c r="R26" s="105"/>
      <c r="S26" s="105"/>
      <c r="T26" s="105"/>
      <c r="U26" s="105"/>
      <c r="V26" s="105"/>
      <c r="W26" s="105"/>
      <c r="X26" s="105"/>
      <c r="Y26" s="105"/>
      <c r="Z26" s="105"/>
      <c r="AA26" s="105"/>
      <c r="AB26" s="105"/>
      <c r="AC26" s="105"/>
      <c r="AD26" s="105"/>
      <c r="AE26" s="105"/>
      <c r="AF26" s="105"/>
      <c r="AG26" s="105"/>
      <c r="AH26" s="105"/>
      <c r="AI26" s="105"/>
      <c r="AJ26" s="105"/>
      <c r="AK26" s="105"/>
      <c r="AL26" s="97"/>
      <c r="AM26" s="60">
        <f t="shared" si="26"/>
        <v>0</v>
      </c>
      <c r="AN26" s="61">
        <f t="shared" si="27"/>
        <v>0</v>
      </c>
      <c r="AO26" s="61">
        <f t="shared" si="28"/>
        <v>0</v>
      </c>
      <c r="AP26" s="61"/>
      <c r="AQ26" s="61"/>
      <c r="AR26" s="61"/>
      <c r="AS26" s="61" t="e">
        <f t="shared" si="29"/>
        <v>#VALUE!</v>
      </c>
      <c r="AT26" s="105"/>
      <c r="AU26" s="105"/>
      <c r="AV26" s="61" t="e">
        <f t="shared" si="30"/>
        <v>#VALUE!</v>
      </c>
      <c r="AW26" s="61" t="e">
        <f t="shared" si="31"/>
        <v>#VALUE!</v>
      </c>
      <c r="AX26" s="61" t="e">
        <f t="shared" si="5"/>
        <v>#VALUE!</v>
      </c>
      <c r="AY26" s="61" t="e">
        <f t="shared" si="32"/>
        <v>#VALUE!</v>
      </c>
      <c r="AZ26" s="61" t="e">
        <f t="shared" si="33"/>
        <v>#VALUE!</v>
      </c>
      <c r="BA26" s="61" t="e">
        <f t="shared" si="34"/>
        <v>#VALUE!</v>
      </c>
      <c r="BB26" s="61">
        <f t="shared" si="35"/>
        <v>0</v>
      </c>
      <c r="BC26" s="105"/>
      <c r="BD26" s="62" t="e">
        <f t="shared" si="36"/>
        <v>#VALUE!</v>
      </c>
      <c r="BE26" s="105"/>
      <c r="BF26" s="117" t="s">
        <v>57</v>
      </c>
    </row>
    <row r="27" spans="1:58">
      <c r="A27" s="59">
        <v>21</v>
      </c>
      <c r="B27" s="103"/>
      <c r="C27" s="104"/>
      <c r="D27" s="105"/>
      <c r="E27" s="104"/>
      <c r="F27" s="106"/>
      <c r="G27" s="107"/>
      <c r="H27" s="105"/>
      <c r="I27" s="105"/>
      <c r="J27" s="105"/>
      <c r="K27" s="105"/>
      <c r="L27" s="105"/>
      <c r="M27" s="105"/>
      <c r="N27" s="105"/>
      <c r="O27" s="105"/>
      <c r="P27" s="105"/>
      <c r="Q27" s="105"/>
      <c r="R27" s="105"/>
      <c r="S27" s="105"/>
      <c r="T27" s="105"/>
      <c r="U27" s="105"/>
      <c r="V27" s="105"/>
      <c r="W27" s="105"/>
      <c r="X27" s="105"/>
      <c r="Y27" s="105"/>
      <c r="Z27" s="105"/>
      <c r="AA27" s="105"/>
      <c r="AB27" s="105"/>
      <c r="AC27" s="105"/>
      <c r="AD27" s="105"/>
      <c r="AE27" s="105"/>
      <c r="AF27" s="105"/>
      <c r="AG27" s="105"/>
      <c r="AH27" s="105"/>
      <c r="AI27" s="105"/>
      <c r="AJ27" s="105"/>
      <c r="AK27" s="105"/>
      <c r="AL27" s="97"/>
      <c r="AM27" s="60">
        <f t="shared" si="26"/>
        <v>0</v>
      </c>
      <c r="AN27" s="61">
        <f t="shared" si="27"/>
        <v>0</v>
      </c>
      <c r="AO27" s="61">
        <f t="shared" si="28"/>
        <v>0</v>
      </c>
      <c r="AP27" s="61"/>
      <c r="AQ27" s="61"/>
      <c r="AR27" s="61"/>
      <c r="AS27" s="61" t="e">
        <f t="shared" si="29"/>
        <v>#VALUE!</v>
      </c>
      <c r="AT27" s="105"/>
      <c r="AU27" s="105"/>
      <c r="AV27" s="61" t="e">
        <f t="shared" si="30"/>
        <v>#VALUE!</v>
      </c>
      <c r="AW27" s="61" t="e">
        <f t="shared" si="31"/>
        <v>#VALUE!</v>
      </c>
      <c r="AX27" s="61" t="e">
        <f t="shared" si="5"/>
        <v>#VALUE!</v>
      </c>
      <c r="AY27" s="61" t="e">
        <f t="shared" si="32"/>
        <v>#VALUE!</v>
      </c>
      <c r="AZ27" s="61" t="e">
        <f t="shared" si="33"/>
        <v>#VALUE!</v>
      </c>
      <c r="BA27" s="61" t="e">
        <f t="shared" si="34"/>
        <v>#VALUE!</v>
      </c>
      <c r="BB27" s="61">
        <f t="shared" si="35"/>
        <v>0</v>
      </c>
      <c r="BC27" s="105"/>
      <c r="BD27" s="62" t="e">
        <f t="shared" si="36"/>
        <v>#VALUE!</v>
      </c>
      <c r="BE27" s="105"/>
      <c r="BF27" s="117" t="s">
        <v>57</v>
      </c>
    </row>
    <row r="28" spans="1:58">
      <c r="A28" s="59">
        <v>22</v>
      </c>
      <c r="B28" s="103"/>
      <c r="C28" s="104"/>
      <c r="D28" s="105"/>
      <c r="E28" s="104"/>
      <c r="F28" s="106"/>
      <c r="G28" s="107"/>
      <c r="H28" s="105"/>
      <c r="I28" s="105"/>
      <c r="J28" s="105"/>
      <c r="K28" s="105"/>
      <c r="L28" s="105"/>
      <c r="M28" s="105"/>
      <c r="N28" s="105"/>
      <c r="O28" s="105"/>
      <c r="P28" s="105"/>
      <c r="Q28" s="105"/>
      <c r="R28" s="105"/>
      <c r="S28" s="105"/>
      <c r="T28" s="105"/>
      <c r="U28" s="105"/>
      <c r="V28" s="105"/>
      <c r="W28" s="105"/>
      <c r="X28" s="105"/>
      <c r="Y28" s="105"/>
      <c r="Z28" s="105"/>
      <c r="AA28" s="105"/>
      <c r="AB28" s="105"/>
      <c r="AC28" s="105"/>
      <c r="AD28" s="105"/>
      <c r="AE28" s="105"/>
      <c r="AF28" s="105"/>
      <c r="AG28" s="105"/>
      <c r="AH28" s="105"/>
      <c r="AI28" s="105"/>
      <c r="AJ28" s="105"/>
      <c r="AK28" s="105"/>
      <c r="AL28" s="97"/>
      <c r="AM28" s="60">
        <f t="shared" si="26"/>
        <v>0</v>
      </c>
      <c r="AN28" s="61">
        <f t="shared" si="27"/>
        <v>0</v>
      </c>
      <c r="AO28" s="61">
        <f t="shared" si="28"/>
        <v>0</v>
      </c>
      <c r="AP28" s="61"/>
      <c r="AQ28" s="61"/>
      <c r="AR28" s="61"/>
      <c r="AS28" s="61" t="e">
        <f t="shared" si="29"/>
        <v>#VALUE!</v>
      </c>
      <c r="AT28" s="105"/>
      <c r="AU28" s="105"/>
      <c r="AV28" s="61" t="e">
        <f t="shared" si="30"/>
        <v>#VALUE!</v>
      </c>
      <c r="AW28" s="61" t="e">
        <f t="shared" si="31"/>
        <v>#VALUE!</v>
      </c>
      <c r="AX28" s="61" t="e">
        <f t="shared" si="5"/>
        <v>#VALUE!</v>
      </c>
      <c r="AY28" s="61" t="e">
        <f t="shared" si="32"/>
        <v>#VALUE!</v>
      </c>
      <c r="AZ28" s="61" t="e">
        <f t="shared" si="33"/>
        <v>#VALUE!</v>
      </c>
      <c r="BA28" s="61" t="e">
        <f t="shared" si="34"/>
        <v>#VALUE!</v>
      </c>
      <c r="BB28" s="61">
        <f t="shared" si="35"/>
        <v>0</v>
      </c>
      <c r="BC28" s="105"/>
      <c r="BD28" s="62" t="e">
        <f t="shared" si="36"/>
        <v>#VALUE!</v>
      </c>
      <c r="BE28" s="105"/>
      <c r="BF28" s="117" t="s">
        <v>57</v>
      </c>
    </row>
    <row r="29" spans="1:58">
      <c r="A29" s="59">
        <v>23</v>
      </c>
      <c r="B29" s="103"/>
      <c r="C29" s="104"/>
      <c r="D29" s="105"/>
      <c r="E29" s="104"/>
      <c r="F29" s="106"/>
      <c r="G29" s="107"/>
      <c r="H29" s="105"/>
      <c r="I29" s="105"/>
      <c r="J29" s="105"/>
      <c r="K29" s="105"/>
      <c r="L29" s="105"/>
      <c r="M29" s="105"/>
      <c r="N29" s="105"/>
      <c r="O29" s="105"/>
      <c r="P29" s="105"/>
      <c r="Q29" s="105"/>
      <c r="R29" s="105"/>
      <c r="S29" s="105"/>
      <c r="T29" s="105"/>
      <c r="U29" s="105"/>
      <c r="V29" s="105"/>
      <c r="W29" s="105"/>
      <c r="X29" s="105"/>
      <c r="Y29" s="105"/>
      <c r="Z29" s="105"/>
      <c r="AA29" s="105"/>
      <c r="AB29" s="105"/>
      <c r="AC29" s="105"/>
      <c r="AD29" s="105"/>
      <c r="AE29" s="105"/>
      <c r="AF29" s="105"/>
      <c r="AG29" s="105"/>
      <c r="AH29" s="105"/>
      <c r="AI29" s="105"/>
      <c r="AJ29" s="105"/>
      <c r="AK29" s="105"/>
      <c r="AL29" s="97"/>
      <c r="AM29" s="60">
        <f t="shared" si="26"/>
        <v>0</v>
      </c>
      <c r="AN29" s="61">
        <f t="shared" si="27"/>
        <v>0</v>
      </c>
      <c r="AO29" s="61">
        <f t="shared" si="28"/>
        <v>0</v>
      </c>
      <c r="AP29" s="61"/>
      <c r="AQ29" s="61"/>
      <c r="AR29" s="61"/>
      <c r="AS29" s="61" t="e">
        <f t="shared" si="29"/>
        <v>#VALUE!</v>
      </c>
      <c r="AT29" s="105"/>
      <c r="AU29" s="105"/>
      <c r="AV29" s="61" t="e">
        <f t="shared" si="30"/>
        <v>#VALUE!</v>
      </c>
      <c r="AW29" s="61" t="e">
        <f t="shared" si="31"/>
        <v>#VALUE!</v>
      </c>
      <c r="AX29" s="61" t="e">
        <f t="shared" si="5"/>
        <v>#VALUE!</v>
      </c>
      <c r="AY29" s="61" t="e">
        <f t="shared" si="32"/>
        <v>#VALUE!</v>
      </c>
      <c r="AZ29" s="61" t="e">
        <f t="shared" si="33"/>
        <v>#VALUE!</v>
      </c>
      <c r="BA29" s="61" t="e">
        <f t="shared" si="34"/>
        <v>#VALUE!</v>
      </c>
      <c r="BB29" s="61">
        <f t="shared" si="35"/>
        <v>0</v>
      </c>
      <c r="BC29" s="105"/>
      <c r="BD29" s="62" t="e">
        <f t="shared" si="36"/>
        <v>#VALUE!</v>
      </c>
      <c r="BE29" s="105"/>
      <c r="BF29" s="117" t="s">
        <v>57</v>
      </c>
    </row>
    <row r="30" spans="1:58">
      <c r="A30" s="59">
        <v>24</v>
      </c>
      <c r="B30" s="103"/>
      <c r="C30" s="104"/>
      <c r="D30" s="105"/>
      <c r="E30" s="104"/>
      <c r="F30" s="106"/>
      <c r="G30" s="107"/>
      <c r="H30" s="105"/>
      <c r="I30" s="105"/>
      <c r="J30" s="105"/>
      <c r="K30" s="105"/>
      <c r="L30" s="105"/>
      <c r="M30" s="105"/>
      <c r="N30" s="105"/>
      <c r="O30" s="105"/>
      <c r="P30" s="105"/>
      <c r="Q30" s="105"/>
      <c r="R30" s="105"/>
      <c r="S30" s="105"/>
      <c r="T30" s="105"/>
      <c r="U30" s="105"/>
      <c r="V30" s="105"/>
      <c r="W30" s="105"/>
      <c r="X30" s="105"/>
      <c r="Y30" s="105"/>
      <c r="Z30" s="105"/>
      <c r="AA30" s="105"/>
      <c r="AB30" s="105"/>
      <c r="AC30" s="105"/>
      <c r="AD30" s="105"/>
      <c r="AE30" s="105"/>
      <c r="AF30" s="105"/>
      <c r="AG30" s="105"/>
      <c r="AH30" s="105"/>
      <c r="AI30" s="105"/>
      <c r="AJ30" s="105"/>
      <c r="AK30" s="105"/>
      <c r="AL30" s="97"/>
      <c r="AM30" s="60">
        <f t="shared" si="26"/>
        <v>0</v>
      </c>
      <c r="AN30" s="61">
        <f t="shared" si="27"/>
        <v>0</v>
      </c>
      <c r="AO30" s="61">
        <f t="shared" si="28"/>
        <v>0</v>
      </c>
      <c r="AP30" s="61"/>
      <c r="AQ30" s="61"/>
      <c r="AR30" s="61"/>
      <c r="AS30" s="61" t="e">
        <f t="shared" si="29"/>
        <v>#VALUE!</v>
      </c>
      <c r="AT30" s="105"/>
      <c r="AU30" s="105"/>
      <c r="AV30" s="61" t="e">
        <f t="shared" si="30"/>
        <v>#VALUE!</v>
      </c>
      <c r="AW30" s="61" t="e">
        <f t="shared" si="31"/>
        <v>#VALUE!</v>
      </c>
      <c r="AX30" s="61" t="e">
        <f t="shared" si="5"/>
        <v>#VALUE!</v>
      </c>
      <c r="AY30" s="61" t="e">
        <f t="shared" si="32"/>
        <v>#VALUE!</v>
      </c>
      <c r="AZ30" s="61" t="e">
        <f t="shared" si="33"/>
        <v>#VALUE!</v>
      </c>
      <c r="BA30" s="61" t="e">
        <f t="shared" si="34"/>
        <v>#VALUE!</v>
      </c>
      <c r="BB30" s="61">
        <f t="shared" si="35"/>
        <v>0</v>
      </c>
      <c r="BC30" s="105"/>
      <c r="BD30" s="62" t="e">
        <f t="shared" si="36"/>
        <v>#VALUE!</v>
      </c>
      <c r="BE30" s="105"/>
      <c r="BF30" s="117" t="s">
        <v>57</v>
      </c>
    </row>
    <row r="31" spans="1:58">
      <c r="A31" s="59">
        <v>25</v>
      </c>
      <c r="B31" s="103"/>
      <c r="C31" s="104"/>
      <c r="D31" s="105"/>
      <c r="E31" s="104"/>
      <c r="F31" s="106"/>
      <c r="G31" s="107"/>
      <c r="H31" s="105"/>
      <c r="I31" s="105"/>
      <c r="J31" s="105"/>
      <c r="K31" s="105"/>
      <c r="L31" s="105"/>
      <c r="M31" s="105"/>
      <c r="N31" s="105"/>
      <c r="O31" s="105"/>
      <c r="P31" s="105"/>
      <c r="Q31" s="105"/>
      <c r="R31" s="105"/>
      <c r="S31" s="105"/>
      <c r="T31" s="105"/>
      <c r="U31" s="105"/>
      <c r="V31" s="105"/>
      <c r="W31" s="105"/>
      <c r="X31" s="105"/>
      <c r="Y31" s="105"/>
      <c r="Z31" s="105"/>
      <c r="AA31" s="105"/>
      <c r="AB31" s="105"/>
      <c r="AC31" s="105"/>
      <c r="AD31" s="105"/>
      <c r="AE31" s="105"/>
      <c r="AF31" s="105"/>
      <c r="AG31" s="105"/>
      <c r="AH31" s="105"/>
      <c r="AI31" s="105"/>
      <c r="AJ31" s="105"/>
      <c r="AK31" s="105"/>
      <c r="AL31" s="97"/>
      <c r="AM31" s="60">
        <f t="shared" si="26"/>
        <v>0</v>
      </c>
      <c r="AN31" s="61">
        <f t="shared" si="27"/>
        <v>0</v>
      </c>
      <c r="AO31" s="61">
        <f t="shared" si="28"/>
        <v>0</v>
      </c>
      <c r="AP31" s="61"/>
      <c r="AQ31" s="61"/>
      <c r="AR31" s="61"/>
      <c r="AS31" s="61" t="e">
        <f t="shared" si="29"/>
        <v>#VALUE!</v>
      </c>
      <c r="AT31" s="105"/>
      <c r="AU31" s="105"/>
      <c r="AV31" s="61" t="e">
        <f t="shared" si="30"/>
        <v>#VALUE!</v>
      </c>
      <c r="AW31" s="61" t="e">
        <f t="shared" si="31"/>
        <v>#VALUE!</v>
      </c>
      <c r="AX31" s="61" t="e">
        <f t="shared" si="5"/>
        <v>#VALUE!</v>
      </c>
      <c r="AY31" s="61" t="e">
        <f t="shared" si="32"/>
        <v>#VALUE!</v>
      </c>
      <c r="AZ31" s="61" t="e">
        <f t="shared" si="33"/>
        <v>#VALUE!</v>
      </c>
      <c r="BA31" s="61" t="e">
        <f t="shared" si="34"/>
        <v>#VALUE!</v>
      </c>
      <c r="BB31" s="61">
        <f t="shared" si="35"/>
        <v>0</v>
      </c>
      <c r="BC31" s="105"/>
      <c r="BD31" s="62" t="e">
        <f t="shared" si="36"/>
        <v>#VALUE!</v>
      </c>
      <c r="BE31" s="105"/>
      <c r="BF31" s="117" t="s">
        <v>57</v>
      </c>
    </row>
    <row r="32" spans="1:58">
      <c r="A32" s="59">
        <v>26</v>
      </c>
      <c r="B32" s="103"/>
      <c r="C32" s="104"/>
      <c r="D32" s="105"/>
      <c r="E32" s="104"/>
      <c r="F32" s="106"/>
      <c r="G32" s="107"/>
      <c r="H32" s="105"/>
      <c r="I32" s="105"/>
      <c r="J32" s="105"/>
      <c r="K32" s="105"/>
      <c r="L32" s="105"/>
      <c r="M32" s="105"/>
      <c r="N32" s="105"/>
      <c r="O32" s="105"/>
      <c r="P32" s="105"/>
      <c r="Q32" s="105"/>
      <c r="R32" s="105"/>
      <c r="S32" s="105"/>
      <c r="T32" s="105"/>
      <c r="U32" s="105"/>
      <c r="V32" s="105"/>
      <c r="W32" s="105"/>
      <c r="X32" s="105"/>
      <c r="Y32" s="105"/>
      <c r="Z32" s="105"/>
      <c r="AA32" s="105"/>
      <c r="AB32" s="105"/>
      <c r="AC32" s="105"/>
      <c r="AD32" s="105"/>
      <c r="AE32" s="105"/>
      <c r="AF32" s="105"/>
      <c r="AG32" s="105"/>
      <c r="AH32" s="105"/>
      <c r="AI32" s="105"/>
      <c r="AJ32" s="105"/>
      <c r="AK32" s="105"/>
      <c r="AL32" s="97"/>
      <c r="AM32" s="60">
        <f t="shared" si="26"/>
        <v>0</v>
      </c>
      <c r="AN32" s="61">
        <f t="shared" si="27"/>
        <v>0</v>
      </c>
      <c r="AO32" s="61">
        <f t="shared" si="28"/>
        <v>0</v>
      </c>
      <c r="AP32" s="61"/>
      <c r="AQ32" s="61"/>
      <c r="AR32" s="61"/>
      <c r="AS32" s="61" t="e">
        <f t="shared" si="29"/>
        <v>#VALUE!</v>
      </c>
      <c r="AT32" s="105"/>
      <c r="AU32" s="105"/>
      <c r="AV32" s="61" t="e">
        <f t="shared" si="30"/>
        <v>#VALUE!</v>
      </c>
      <c r="AW32" s="61" t="e">
        <f t="shared" si="31"/>
        <v>#VALUE!</v>
      </c>
      <c r="AX32" s="61" t="e">
        <f t="shared" si="5"/>
        <v>#VALUE!</v>
      </c>
      <c r="AY32" s="61" t="e">
        <f t="shared" si="32"/>
        <v>#VALUE!</v>
      </c>
      <c r="AZ32" s="61" t="e">
        <f t="shared" si="33"/>
        <v>#VALUE!</v>
      </c>
      <c r="BA32" s="61" t="e">
        <f t="shared" si="34"/>
        <v>#VALUE!</v>
      </c>
      <c r="BB32" s="61">
        <f t="shared" si="35"/>
        <v>0</v>
      </c>
      <c r="BC32" s="105"/>
      <c r="BD32" s="62" t="e">
        <f t="shared" si="36"/>
        <v>#VALUE!</v>
      </c>
      <c r="BE32" s="105"/>
      <c r="BF32" s="117" t="s">
        <v>57</v>
      </c>
    </row>
    <row r="33" spans="1:58">
      <c r="A33" s="59">
        <v>27</v>
      </c>
      <c r="B33" s="103"/>
      <c r="C33" s="104"/>
      <c r="D33" s="105"/>
      <c r="E33" s="104"/>
      <c r="F33" s="106"/>
      <c r="G33" s="107"/>
      <c r="H33" s="105"/>
      <c r="I33" s="105"/>
      <c r="J33" s="105"/>
      <c r="K33" s="105"/>
      <c r="L33" s="105"/>
      <c r="M33" s="105"/>
      <c r="N33" s="105"/>
      <c r="O33" s="105"/>
      <c r="P33" s="105"/>
      <c r="Q33" s="105"/>
      <c r="R33" s="105"/>
      <c r="S33" s="105"/>
      <c r="T33" s="105"/>
      <c r="U33" s="105"/>
      <c r="V33" s="105"/>
      <c r="W33" s="105"/>
      <c r="X33" s="105"/>
      <c r="Y33" s="105"/>
      <c r="Z33" s="105"/>
      <c r="AA33" s="105"/>
      <c r="AB33" s="105"/>
      <c r="AC33" s="105"/>
      <c r="AD33" s="105"/>
      <c r="AE33" s="105"/>
      <c r="AF33" s="105"/>
      <c r="AG33" s="105"/>
      <c r="AH33" s="105"/>
      <c r="AI33" s="105"/>
      <c r="AJ33" s="105"/>
      <c r="AK33" s="105"/>
      <c r="AL33" s="97"/>
      <c r="AM33" s="60">
        <f t="shared" si="26"/>
        <v>0</v>
      </c>
      <c r="AN33" s="61">
        <f t="shared" si="27"/>
        <v>0</v>
      </c>
      <c r="AO33" s="61">
        <f t="shared" si="28"/>
        <v>0</v>
      </c>
      <c r="AP33" s="61"/>
      <c r="AQ33" s="61"/>
      <c r="AR33" s="61"/>
      <c r="AS33" s="61" t="e">
        <f t="shared" si="29"/>
        <v>#VALUE!</v>
      </c>
      <c r="AT33" s="105"/>
      <c r="AU33" s="105"/>
      <c r="AV33" s="61" t="e">
        <f t="shared" si="30"/>
        <v>#VALUE!</v>
      </c>
      <c r="AW33" s="61" t="e">
        <f t="shared" si="31"/>
        <v>#VALUE!</v>
      </c>
      <c r="AX33" s="61" t="e">
        <f t="shared" si="5"/>
        <v>#VALUE!</v>
      </c>
      <c r="AY33" s="61" t="e">
        <f t="shared" si="32"/>
        <v>#VALUE!</v>
      </c>
      <c r="AZ33" s="61" t="e">
        <f t="shared" si="33"/>
        <v>#VALUE!</v>
      </c>
      <c r="BA33" s="61" t="e">
        <f t="shared" si="34"/>
        <v>#VALUE!</v>
      </c>
      <c r="BB33" s="61">
        <f t="shared" si="35"/>
        <v>0</v>
      </c>
      <c r="BC33" s="105"/>
      <c r="BD33" s="62" t="e">
        <f t="shared" si="36"/>
        <v>#VALUE!</v>
      </c>
      <c r="BE33" s="105"/>
      <c r="BF33" s="117" t="s">
        <v>57</v>
      </c>
    </row>
    <row r="34" spans="1:58">
      <c r="A34" s="59">
        <v>28</v>
      </c>
      <c r="B34" s="103"/>
      <c r="C34" s="104"/>
      <c r="D34" s="105"/>
      <c r="E34" s="104"/>
      <c r="F34" s="106"/>
      <c r="G34" s="107"/>
      <c r="H34" s="105"/>
      <c r="I34" s="105"/>
      <c r="J34" s="105"/>
      <c r="K34" s="105"/>
      <c r="L34" s="105"/>
      <c r="M34" s="105"/>
      <c r="N34" s="105"/>
      <c r="O34" s="105"/>
      <c r="P34" s="105"/>
      <c r="Q34" s="105"/>
      <c r="R34" s="105"/>
      <c r="S34" s="105"/>
      <c r="T34" s="105"/>
      <c r="U34" s="105"/>
      <c r="V34" s="105"/>
      <c r="W34" s="105"/>
      <c r="X34" s="105"/>
      <c r="Y34" s="105"/>
      <c r="Z34" s="105"/>
      <c r="AA34" s="105"/>
      <c r="AB34" s="105"/>
      <c r="AC34" s="105"/>
      <c r="AD34" s="105"/>
      <c r="AE34" s="105"/>
      <c r="AF34" s="105"/>
      <c r="AG34" s="105"/>
      <c r="AH34" s="105"/>
      <c r="AI34" s="105"/>
      <c r="AJ34" s="105"/>
      <c r="AK34" s="105"/>
      <c r="AL34" s="97"/>
      <c r="AM34" s="60">
        <f t="shared" si="26"/>
        <v>0</v>
      </c>
      <c r="AN34" s="61">
        <f t="shared" si="27"/>
        <v>0</v>
      </c>
      <c r="AO34" s="61">
        <f t="shared" si="28"/>
        <v>0</v>
      </c>
      <c r="AP34" s="61"/>
      <c r="AQ34" s="61"/>
      <c r="AR34" s="61"/>
      <c r="AS34" s="61" t="e">
        <f t="shared" si="29"/>
        <v>#VALUE!</v>
      </c>
      <c r="AT34" s="105"/>
      <c r="AU34" s="105"/>
      <c r="AV34" s="61" t="e">
        <f t="shared" si="30"/>
        <v>#VALUE!</v>
      </c>
      <c r="AW34" s="61" t="e">
        <f t="shared" si="31"/>
        <v>#VALUE!</v>
      </c>
      <c r="AX34" s="61" t="e">
        <f t="shared" si="5"/>
        <v>#VALUE!</v>
      </c>
      <c r="AY34" s="61" t="e">
        <f t="shared" si="32"/>
        <v>#VALUE!</v>
      </c>
      <c r="AZ34" s="61" t="e">
        <f t="shared" si="33"/>
        <v>#VALUE!</v>
      </c>
      <c r="BA34" s="61" t="e">
        <f t="shared" si="34"/>
        <v>#VALUE!</v>
      </c>
      <c r="BB34" s="61">
        <f t="shared" si="35"/>
        <v>0</v>
      </c>
      <c r="BC34" s="105"/>
      <c r="BD34" s="62" t="e">
        <f t="shared" si="36"/>
        <v>#VALUE!</v>
      </c>
      <c r="BE34" s="105"/>
      <c r="BF34" s="117" t="s">
        <v>57</v>
      </c>
    </row>
    <row r="35" spans="1:58">
      <c r="A35" s="59">
        <v>29</v>
      </c>
      <c r="B35" s="103"/>
      <c r="C35" s="104"/>
      <c r="D35" s="105"/>
      <c r="E35" s="104"/>
      <c r="F35" s="106"/>
      <c r="G35" s="107"/>
      <c r="H35" s="105"/>
      <c r="I35" s="105"/>
      <c r="J35" s="105"/>
      <c r="K35" s="105"/>
      <c r="L35" s="105"/>
      <c r="M35" s="105"/>
      <c r="N35" s="105"/>
      <c r="O35" s="105"/>
      <c r="P35" s="105"/>
      <c r="Q35" s="105"/>
      <c r="R35" s="105"/>
      <c r="S35" s="105"/>
      <c r="T35" s="105"/>
      <c r="U35" s="105"/>
      <c r="V35" s="105"/>
      <c r="W35" s="105"/>
      <c r="X35" s="105"/>
      <c r="Y35" s="105"/>
      <c r="Z35" s="105"/>
      <c r="AA35" s="105"/>
      <c r="AB35" s="105"/>
      <c r="AC35" s="105"/>
      <c r="AD35" s="105"/>
      <c r="AE35" s="105"/>
      <c r="AF35" s="105"/>
      <c r="AG35" s="105"/>
      <c r="AH35" s="105"/>
      <c r="AI35" s="105"/>
      <c r="AJ35" s="105"/>
      <c r="AK35" s="105"/>
      <c r="AL35" s="97"/>
      <c r="AM35" s="60">
        <f t="shared" si="26"/>
        <v>0</v>
      </c>
      <c r="AN35" s="61">
        <f t="shared" si="27"/>
        <v>0</v>
      </c>
      <c r="AO35" s="61">
        <f t="shared" si="28"/>
        <v>0</v>
      </c>
      <c r="AP35" s="61"/>
      <c r="AQ35" s="61"/>
      <c r="AR35" s="61"/>
      <c r="AS35" s="61" t="e">
        <f t="shared" si="29"/>
        <v>#VALUE!</v>
      </c>
      <c r="AT35" s="105"/>
      <c r="AU35" s="105"/>
      <c r="AV35" s="61" t="e">
        <f t="shared" si="30"/>
        <v>#VALUE!</v>
      </c>
      <c r="AW35" s="61" t="e">
        <f t="shared" si="31"/>
        <v>#VALUE!</v>
      </c>
      <c r="AX35" s="61" t="e">
        <f t="shared" si="5"/>
        <v>#VALUE!</v>
      </c>
      <c r="AY35" s="61" t="e">
        <f t="shared" si="32"/>
        <v>#VALUE!</v>
      </c>
      <c r="AZ35" s="61" t="e">
        <f t="shared" si="33"/>
        <v>#VALUE!</v>
      </c>
      <c r="BA35" s="61" t="e">
        <f t="shared" si="34"/>
        <v>#VALUE!</v>
      </c>
      <c r="BB35" s="61">
        <f t="shared" si="35"/>
        <v>0</v>
      </c>
      <c r="BC35" s="105"/>
      <c r="BD35" s="62" t="e">
        <f t="shared" si="36"/>
        <v>#VALUE!</v>
      </c>
      <c r="BE35" s="105"/>
      <c r="BF35" s="117" t="s">
        <v>57</v>
      </c>
    </row>
    <row r="36" spans="1:58">
      <c r="A36" s="59">
        <v>30</v>
      </c>
      <c r="B36" s="103"/>
      <c r="C36" s="104"/>
      <c r="D36" s="105"/>
      <c r="E36" s="104"/>
      <c r="F36" s="106"/>
      <c r="G36" s="107"/>
      <c r="H36" s="105"/>
      <c r="I36" s="105"/>
      <c r="J36" s="105"/>
      <c r="K36" s="105"/>
      <c r="L36" s="105"/>
      <c r="M36" s="105"/>
      <c r="N36" s="105"/>
      <c r="O36" s="105"/>
      <c r="P36" s="105"/>
      <c r="Q36" s="105"/>
      <c r="R36" s="105"/>
      <c r="S36" s="105"/>
      <c r="T36" s="105"/>
      <c r="U36" s="105"/>
      <c r="V36" s="105"/>
      <c r="W36" s="105"/>
      <c r="X36" s="105"/>
      <c r="Y36" s="105"/>
      <c r="Z36" s="105"/>
      <c r="AA36" s="105"/>
      <c r="AB36" s="105"/>
      <c r="AC36" s="105"/>
      <c r="AD36" s="105"/>
      <c r="AE36" s="105"/>
      <c r="AF36" s="105"/>
      <c r="AG36" s="105"/>
      <c r="AH36" s="105"/>
      <c r="AI36" s="105"/>
      <c r="AJ36" s="105"/>
      <c r="AK36" s="105"/>
      <c r="AL36" s="97"/>
      <c r="AM36" s="60">
        <f t="shared" si="26"/>
        <v>0</v>
      </c>
      <c r="AN36" s="61">
        <f t="shared" si="27"/>
        <v>0</v>
      </c>
      <c r="AO36" s="61">
        <f t="shared" si="28"/>
        <v>0</v>
      </c>
      <c r="AP36" s="61"/>
      <c r="AQ36" s="61"/>
      <c r="AR36" s="61"/>
      <c r="AS36" s="61" t="e">
        <f t="shared" si="29"/>
        <v>#VALUE!</v>
      </c>
      <c r="AT36" s="105"/>
      <c r="AU36" s="105"/>
      <c r="AV36" s="61" t="e">
        <f t="shared" si="30"/>
        <v>#VALUE!</v>
      </c>
      <c r="AW36" s="61" t="e">
        <f t="shared" si="31"/>
        <v>#VALUE!</v>
      </c>
      <c r="AX36" s="61" t="e">
        <f t="shared" si="5"/>
        <v>#VALUE!</v>
      </c>
      <c r="AY36" s="61" t="e">
        <f t="shared" si="32"/>
        <v>#VALUE!</v>
      </c>
      <c r="AZ36" s="61" t="e">
        <f t="shared" si="33"/>
        <v>#VALUE!</v>
      </c>
      <c r="BA36" s="61" t="e">
        <f t="shared" si="34"/>
        <v>#VALUE!</v>
      </c>
      <c r="BB36" s="61">
        <f t="shared" si="35"/>
        <v>0</v>
      </c>
      <c r="BC36" s="105"/>
      <c r="BD36" s="62" t="e">
        <f t="shared" si="36"/>
        <v>#VALUE!</v>
      </c>
      <c r="BE36" s="105"/>
      <c r="BF36" s="117" t="s">
        <v>57</v>
      </c>
    </row>
    <row r="48" spans="1:58">
      <c r="O48" s="11"/>
      <c r="P48" s="11"/>
      <c r="Q48" s="11"/>
      <c r="R48" s="11"/>
      <c r="S48" s="11"/>
      <c r="T48" s="11"/>
    </row>
    <row r="52" spans="15:17">
      <c r="O52" s="63"/>
    </row>
    <row r="53" spans="15:17">
      <c r="Q53" s="63"/>
    </row>
  </sheetData>
  <sheetProtection algorithmName="SHA-512" hashValue="0fj3coGfEFFIz6CSrkSva7dl2EMX4525Yz33CxyNdZ35dxa3t0jvErkHO2nXhQxQAC9dkN8Mjd3BxdwbhhEkbA==" saltValue="SlxMM+qDbbdiCgf+JaxQ/Q==" spinCount="100000" sheet="1" insertRows="0" autoFilter="0"/>
  <autoFilter ref="A5:BF5" xr:uid="{8C328EB6-DBB9-4E5A-B5B0-009CDA750438}"/>
  <mergeCells count="2">
    <mergeCell ref="A2:B2"/>
    <mergeCell ref="G2:AL2"/>
  </mergeCells>
  <conditionalFormatting sqref="G5:AL5">
    <cfRule type="containsText" dxfId="46" priority="8" operator="containsText" text="RH">
      <formula>NOT(ISERROR(SEARCH("RH",G5)))</formula>
    </cfRule>
  </conditionalFormatting>
  <conditionalFormatting sqref="G6:AL6">
    <cfRule type="expression" dxfId="45" priority="7">
      <formula>$G$4:$AL$4=""</formula>
    </cfRule>
  </conditionalFormatting>
  <conditionalFormatting sqref="G4:AL4">
    <cfRule type="expression" dxfId="44" priority="6">
      <formula>$G$4:$AL$4&gt;"$D$2"</formula>
    </cfRule>
  </conditionalFormatting>
  <conditionalFormatting sqref="AI4">
    <cfRule type="expression" dxfId="43" priority="5">
      <formula>$AI$4&gt;$D$2</formula>
    </cfRule>
  </conditionalFormatting>
  <conditionalFormatting sqref="AJ4">
    <cfRule type="expression" dxfId="42" priority="4">
      <formula>$AJ$4&gt;$D$2</formula>
    </cfRule>
  </conditionalFormatting>
  <conditionalFormatting sqref="AK4">
    <cfRule type="expression" dxfId="41" priority="3">
      <formula>$AK$4&gt;$D$2</formula>
    </cfRule>
  </conditionalFormatting>
  <conditionalFormatting sqref="AL4">
    <cfRule type="expression" dxfId="40" priority="2">
      <formula>$AL$4&gt;$D$2</formula>
    </cfRule>
  </conditionalFormatting>
  <conditionalFormatting sqref="G7:AL36">
    <cfRule type="expression" dxfId="39" priority="1">
      <formula>$G$4:$AL$4=""</formula>
    </cfRule>
  </conditionalFormatting>
  <dataValidations count="2">
    <dataValidation type="list" allowBlank="1" showInputMessage="1" showErrorMessage="1" sqref="C2" xr:uid="{9D10A476-0002-4330-97C2-76C9F3DC025F}">
      <formula1>CN_Date</formula1>
    </dataValidation>
    <dataValidation type="list" allowBlank="1" showInputMessage="1" showErrorMessage="1" sqref="G6:AL36" xr:uid="{0E61D571-8D82-4324-B892-3985657DB491}">
      <formula1>Prod_BACH</formula1>
    </dataValidation>
  </dataValidations>
  <pageMargins left="0.7" right="0.7" top="0.75" bottom="0.75" header="0.3" footer="0.3"/>
  <pageSetup paperSize="9" orientation="portrait" horizontalDpi="1200" verticalDpi="1200" r:id="rId1"/>
  <headerFooter>
    <oddFooter>&amp;C&amp;1#&amp;"Arial"&amp;10&amp;K000000Internal</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3825F2-3432-443E-813C-0D98AD6D124F}">
  <sheetPr codeName="Sheet7"/>
  <dimension ref="A1:BF53"/>
  <sheetViews>
    <sheetView zoomScale="80" zoomScaleNormal="80" workbookViewId="0">
      <pane xSplit="6" ySplit="5" topLeftCell="G6" activePane="bottomRight" state="frozen"/>
      <selection pane="topRight" activeCell="F28" sqref="F28:AC28"/>
      <selection pane="bottomLeft" activeCell="F28" sqref="F28:AC28"/>
      <selection pane="bottomRight" activeCell="F9" sqref="F9"/>
    </sheetView>
  </sheetViews>
  <sheetFormatPr defaultColWidth="9.109375" defaultRowHeight="14.4"/>
  <cols>
    <col min="1" max="1" width="7.109375" style="8" customWidth="1"/>
    <col min="2" max="2" width="15.44140625" style="129" customWidth="1"/>
    <col min="3" max="4" width="15.44140625" style="129" bestFit="1" customWidth="1"/>
    <col min="5" max="6" width="11.5546875" style="129" customWidth="1"/>
    <col min="7" max="38" width="8.5546875" style="129" customWidth="1"/>
    <col min="39" max="41" width="9.109375" style="8"/>
    <col min="42" max="44" width="9.109375" style="8" hidden="1" customWidth="1"/>
    <col min="45" max="45" width="9.109375" style="8"/>
    <col min="46" max="47" width="26.88671875" style="8" customWidth="1"/>
    <col min="48" max="55" width="13.5546875" style="8" customWidth="1"/>
    <col min="56" max="56" width="18.5546875" style="8" bestFit="1" customWidth="1"/>
    <col min="57" max="57" width="9.109375" style="8"/>
    <col min="58" max="58" width="17" style="8" bestFit="1" customWidth="1"/>
    <col min="59" max="16384" width="9.109375" style="8"/>
  </cols>
  <sheetData>
    <row r="1" spans="1:58" ht="18.600000000000001" thickBot="1">
      <c r="A1" s="83" t="s">
        <v>63</v>
      </c>
      <c r="B1" s="8"/>
      <c r="C1" s="8"/>
      <c r="D1" s="8"/>
      <c r="E1" s="8"/>
      <c r="F1" s="8"/>
      <c r="G1" s="8"/>
      <c r="H1" s="8"/>
      <c r="I1" s="8"/>
      <c r="J1" s="8"/>
      <c r="K1" s="8"/>
      <c r="L1" s="8"/>
      <c r="M1" s="8"/>
      <c r="N1" s="8"/>
      <c r="O1" s="8"/>
      <c r="P1" s="8"/>
      <c r="Q1" s="8"/>
      <c r="R1" s="8"/>
      <c r="S1" s="8"/>
      <c r="T1" s="8"/>
      <c r="U1" s="8"/>
      <c r="V1" s="8"/>
      <c r="W1" s="8"/>
      <c r="X1" s="8"/>
      <c r="Y1" s="8"/>
      <c r="Z1" s="8"/>
      <c r="AA1" s="8"/>
      <c r="AB1" s="8"/>
      <c r="AC1" s="8"/>
      <c r="AD1" s="8"/>
      <c r="AE1" s="8"/>
      <c r="AF1" s="8"/>
      <c r="AG1" s="8"/>
      <c r="AH1" s="8"/>
      <c r="AI1" s="8"/>
      <c r="AJ1" s="8"/>
      <c r="AK1" s="8"/>
      <c r="AL1" s="8"/>
    </row>
    <row r="2" spans="1:58" ht="47.25" customHeight="1" thickBot="1">
      <c r="A2" s="198" t="s">
        <v>64</v>
      </c>
      <c r="B2" s="199"/>
      <c r="C2" s="102" t="s">
        <v>92</v>
      </c>
      <c r="D2" s="33" t="e">
        <f>EOMONTH(C2,0)</f>
        <v>#VALUE!</v>
      </c>
      <c r="E2" s="8"/>
      <c r="F2" s="8"/>
      <c r="G2" s="210" t="s">
        <v>120</v>
      </c>
      <c r="H2" s="211"/>
      <c r="I2" s="211"/>
      <c r="J2" s="211"/>
      <c r="K2" s="211"/>
      <c r="L2" s="211"/>
      <c r="M2" s="211"/>
      <c r="N2" s="211"/>
      <c r="O2" s="211"/>
      <c r="P2" s="211"/>
      <c r="Q2" s="211"/>
      <c r="R2" s="211"/>
      <c r="S2" s="211"/>
      <c r="T2" s="211"/>
      <c r="U2" s="211"/>
      <c r="V2" s="211"/>
      <c r="W2" s="211"/>
      <c r="X2" s="211"/>
      <c r="Y2" s="211"/>
      <c r="Z2" s="211"/>
      <c r="AA2" s="211"/>
      <c r="AB2" s="211"/>
      <c r="AC2" s="211"/>
      <c r="AD2" s="211"/>
      <c r="AE2" s="211"/>
      <c r="AF2" s="211"/>
      <c r="AG2" s="211"/>
      <c r="AH2" s="211"/>
      <c r="AI2" s="211"/>
      <c r="AJ2" s="211"/>
      <c r="AK2" s="211"/>
      <c r="AL2" s="212"/>
    </row>
    <row r="3" spans="1:58" ht="15" thickBot="1">
      <c r="B3" s="8"/>
      <c r="C3" s="8"/>
      <c r="D3" s="8"/>
      <c r="E3" s="8"/>
      <c r="F3" s="10"/>
      <c r="G3" s="34" t="s">
        <v>88</v>
      </c>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8"/>
      <c r="AJ3" s="8"/>
      <c r="AK3" s="8"/>
      <c r="AL3" s="8"/>
    </row>
    <row r="4" spans="1:58" ht="85.5" customHeight="1">
      <c r="A4" s="35" t="s">
        <v>67</v>
      </c>
      <c r="B4" s="36" t="s">
        <v>68</v>
      </c>
      <c r="C4" s="13" t="s">
        <v>69</v>
      </c>
      <c r="D4" s="13" t="s">
        <v>94</v>
      </c>
      <c r="E4" s="13" t="s">
        <v>71</v>
      </c>
      <c r="F4" s="37" t="s">
        <v>72</v>
      </c>
      <c r="G4" s="38" t="e">
        <f>IF($C$2+0&gt;$D$2+1,"",$C$2+0)</f>
        <v>#VALUE!</v>
      </c>
      <c r="H4" s="39" t="e">
        <f>IF($C$2+1&gt;$D$2+1,"",$C$2+1)</f>
        <v>#VALUE!</v>
      </c>
      <c r="I4" s="39" t="e">
        <f>IF($C$2+2&gt;$D$2+1,"",$C$2+2)</f>
        <v>#VALUE!</v>
      </c>
      <c r="J4" s="39" t="e">
        <f>IF($C$2+3&gt;$D$2+1,"",$C$2+3)</f>
        <v>#VALUE!</v>
      </c>
      <c r="K4" s="39" t="e">
        <f>IF($C$2+4&gt;$D$2+1,"",$C$2+4)</f>
        <v>#VALUE!</v>
      </c>
      <c r="L4" s="39" t="e">
        <f>IF($C$2+5&gt;$D$2+1,"",$C$2+5)</f>
        <v>#VALUE!</v>
      </c>
      <c r="M4" s="39" t="e">
        <f>IF($C$2+6&gt;$D$2+1,"",$C$2+6)</f>
        <v>#VALUE!</v>
      </c>
      <c r="N4" s="39" t="e">
        <f>IF($C$2+7&gt;$D$2+1,"",$C$2+7)</f>
        <v>#VALUE!</v>
      </c>
      <c r="O4" s="39" t="e">
        <f>IF($C$2+8&gt;$D$2+1,"",$C$2+8)</f>
        <v>#VALUE!</v>
      </c>
      <c r="P4" s="39" t="e">
        <f>IF($C$2+9&gt;$D$2+1,"",$C$2+9)</f>
        <v>#VALUE!</v>
      </c>
      <c r="Q4" s="39" t="e">
        <f>IF($C$2+10&gt;$D$2+1,"",$C$2+10)</f>
        <v>#VALUE!</v>
      </c>
      <c r="R4" s="39" t="e">
        <f>IF($C$2+11&gt;$D$2+1,"",$C$2+11)</f>
        <v>#VALUE!</v>
      </c>
      <c r="S4" s="39" t="e">
        <f>IF($C$2+12&gt;$D$2+1,"",$C$2+12)</f>
        <v>#VALUE!</v>
      </c>
      <c r="T4" s="39" t="e">
        <f>IF($C$2+13&gt;$D$2+1,"",$C$2+13)</f>
        <v>#VALUE!</v>
      </c>
      <c r="U4" s="39" t="e">
        <f>IF($C$2+14&gt;$D$2+1,"",$C$2+14)</f>
        <v>#VALUE!</v>
      </c>
      <c r="V4" s="39" t="e">
        <f>IF($C$2+15&gt;$D$2+1,"",$C$2+15)</f>
        <v>#VALUE!</v>
      </c>
      <c r="W4" s="39" t="e">
        <f>IF($C$2+16&gt;$D$2+1,"",$C$2+16)</f>
        <v>#VALUE!</v>
      </c>
      <c r="X4" s="39" t="e">
        <f>IF($C$2+17&gt;$D$2+1,"",$C$2+17)</f>
        <v>#VALUE!</v>
      </c>
      <c r="Y4" s="39" t="e">
        <f>IF($C$2+18&gt;$D$2+1,"",$C$2+18)</f>
        <v>#VALUE!</v>
      </c>
      <c r="Z4" s="39" t="e">
        <f>IF($C$2+19&gt;$D$2+1,"",$C$2+19)</f>
        <v>#VALUE!</v>
      </c>
      <c r="AA4" s="39" t="e">
        <f>IF($C$2+20&gt;$D$2+1,"",$C$2+20)</f>
        <v>#VALUE!</v>
      </c>
      <c r="AB4" s="39" t="e">
        <f>IF($C$2+21&gt;$D$2+1,"",$C$2+21)</f>
        <v>#VALUE!</v>
      </c>
      <c r="AC4" s="39" t="e">
        <f>IF($C$2+22&gt;$D$2+1,"",$C$2+22)</f>
        <v>#VALUE!</v>
      </c>
      <c r="AD4" s="39" t="e">
        <f>IF($C$2+23&gt;$D$2+1,"",$C$2+23)</f>
        <v>#VALUE!</v>
      </c>
      <c r="AE4" s="39" t="e">
        <f>IF($C$2+24&gt;$D$2+1,"",$C$2+24)</f>
        <v>#VALUE!</v>
      </c>
      <c r="AF4" s="39" t="e">
        <f>IF($C$2+25&gt;$D$2+1,"",$C$2+25)</f>
        <v>#VALUE!</v>
      </c>
      <c r="AG4" s="39" t="e">
        <f>IF($C$2+26&gt;$D$2+1,"",$C$2+26)</f>
        <v>#VALUE!</v>
      </c>
      <c r="AH4" s="39" t="e">
        <f>IF($C$2+27&gt;$D$2+1,"",$C$2+27)</f>
        <v>#VALUE!</v>
      </c>
      <c r="AI4" s="39" t="e">
        <f>IF($C$2+28&gt;$D$2+1,"",$C$2+28)</f>
        <v>#VALUE!</v>
      </c>
      <c r="AJ4" s="39" t="e">
        <f>IF($C$2+29&gt;$D$2+1,"",$C$2+29)</f>
        <v>#VALUE!</v>
      </c>
      <c r="AK4" s="39" t="e">
        <f>IF($C$2+30&gt;$D$2+1,"",$C$2+30)</f>
        <v>#VALUE!</v>
      </c>
      <c r="AL4" s="40" t="e">
        <f>IF($C$2+31&gt;$D$2+1,"",$C$2+31)</f>
        <v>#VALUE!</v>
      </c>
      <c r="AM4" s="12" t="s">
        <v>115</v>
      </c>
      <c r="AN4" s="13" t="s">
        <v>96</v>
      </c>
      <c r="AO4" s="13" t="s">
        <v>116</v>
      </c>
      <c r="AP4" s="13"/>
      <c r="AQ4" s="13"/>
      <c r="AR4" s="13"/>
      <c r="AS4" s="13" t="s">
        <v>98</v>
      </c>
      <c r="AT4" s="13" t="s">
        <v>99</v>
      </c>
      <c r="AU4" s="13" t="s">
        <v>100</v>
      </c>
      <c r="AV4" s="13" t="s">
        <v>101</v>
      </c>
      <c r="AW4" s="13" t="s">
        <v>102</v>
      </c>
      <c r="AX4" s="13" t="s">
        <v>103</v>
      </c>
      <c r="AY4" s="13" t="s">
        <v>104</v>
      </c>
      <c r="AZ4" s="13" t="s">
        <v>105</v>
      </c>
      <c r="BA4" s="13" t="s">
        <v>106</v>
      </c>
      <c r="BB4" s="13" t="s">
        <v>107</v>
      </c>
      <c r="BC4" s="13" t="s">
        <v>75</v>
      </c>
      <c r="BD4" s="13" t="s">
        <v>78</v>
      </c>
      <c r="BE4" s="13" t="s">
        <v>108</v>
      </c>
      <c r="BF4" s="37" t="s">
        <v>109</v>
      </c>
    </row>
    <row r="5" spans="1:58" ht="15" thickBot="1">
      <c r="A5" s="41"/>
      <c r="B5" s="42"/>
      <c r="C5" s="43"/>
      <c r="D5" s="43"/>
      <c r="E5" s="43"/>
      <c r="F5" s="44"/>
      <c r="G5" s="45" t="str">
        <f>IFERROR(HLOOKUP(G4,Reference!1:2,2,0),"")</f>
        <v/>
      </c>
      <c r="H5" s="46" t="str">
        <f>IFERROR(HLOOKUP(H4,Reference!1:2,2,0),"")</f>
        <v/>
      </c>
      <c r="I5" s="46" t="str">
        <f>IFERROR(HLOOKUP(I4,Reference!1:2,2,0),"")</f>
        <v/>
      </c>
      <c r="J5" s="46" t="str">
        <f>IFERROR(HLOOKUP(J4,Reference!1:2,2,0),"")</f>
        <v/>
      </c>
      <c r="K5" s="46" t="str">
        <f>IFERROR(HLOOKUP(K4,Reference!1:2,2,0),"")</f>
        <v/>
      </c>
      <c r="L5" s="46" t="str">
        <f>IFERROR(HLOOKUP(L4,Reference!1:2,2,0),"")</f>
        <v/>
      </c>
      <c r="M5" s="46" t="str">
        <f>IFERROR(HLOOKUP(M4,Reference!1:2,2,0),"")</f>
        <v/>
      </c>
      <c r="N5" s="46" t="str">
        <f>IFERROR(HLOOKUP(N4,Reference!1:2,2,0),"")</f>
        <v/>
      </c>
      <c r="O5" s="46" t="str">
        <f>IFERROR(HLOOKUP(O4,Reference!1:2,2,0),"")</f>
        <v/>
      </c>
      <c r="P5" s="46" t="str">
        <f>IFERROR(HLOOKUP(P4,Reference!1:2,2,0),"")</f>
        <v/>
      </c>
      <c r="Q5" s="46" t="str">
        <f>IFERROR(HLOOKUP(Q4,Reference!1:2,2,0),"")</f>
        <v/>
      </c>
      <c r="R5" s="46" t="str">
        <f>IFERROR(HLOOKUP(R4,Reference!1:2,2,0),"")</f>
        <v/>
      </c>
      <c r="S5" s="46" t="str">
        <f>IFERROR(HLOOKUP(S4,Reference!1:2,2,0),"")</f>
        <v/>
      </c>
      <c r="T5" s="46" t="str">
        <f>IFERROR(HLOOKUP(T4,Reference!1:2,2,0),"")</f>
        <v/>
      </c>
      <c r="U5" s="46" t="str">
        <f>IFERROR(HLOOKUP(U4,Reference!1:2,2,0),"")</f>
        <v/>
      </c>
      <c r="V5" s="46" t="str">
        <f>IFERROR(HLOOKUP(V4,Reference!1:2,2,0),"")</f>
        <v/>
      </c>
      <c r="W5" s="46" t="str">
        <f>IFERROR(HLOOKUP(W4,Reference!1:2,2,0),"")</f>
        <v/>
      </c>
      <c r="X5" s="46" t="str">
        <f>IFERROR(HLOOKUP(X4,Reference!1:2,2,0),"")</f>
        <v/>
      </c>
      <c r="Y5" s="46" t="str">
        <f>IFERROR(HLOOKUP(Y4,Reference!1:2,2,0),"")</f>
        <v/>
      </c>
      <c r="Z5" s="46" t="str">
        <f>IFERROR(HLOOKUP(Z4,Reference!1:2,2,0),"")</f>
        <v/>
      </c>
      <c r="AA5" s="46" t="str">
        <f>IFERROR(HLOOKUP(AA4,Reference!1:2,2,0),"")</f>
        <v/>
      </c>
      <c r="AB5" s="46" t="str">
        <f>IFERROR(HLOOKUP(AB4,Reference!1:2,2,0),"")</f>
        <v/>
      </c>
      <c r="AC5" s="46" t="str">
        <f>IFERROR(HLOOKUP(AC4,Reference!1:2,2,0),"")</f>
        <v/>
      </c>
      <c r="AD5" s="46" t="str">
        <f>IFERROR(HLOOKUP(AD4,Reference!1:2,2,0),"")</f>
        <v/>
      </c>
      <c r="AE5" s="46" t="str">
        <f>IFERROR(HLOOKUP(AE4,Reference!1:2,2,0),"")</f>
        <v/>
      </c>
      <c r="AF5" s="46" t="str">
        <f>IFERROR(HLOOKUP(AF4,Reference!1:2,2,0),"")</f>
        <v/>
      </c>
      <c r="AG5" s="46" t="str">
        <f>IFERROR(HLOOKUP(AG4,Reference!1:2,2,0),"")</f>
        <v/>
      </c>
      <c r="AH5" s="46" t="str">
        <f>IFERROR(HLOOKUP(AH4,Reference!1:2,2,0),"")</f>
        <v/>
      </c>
      <c r="AI5" s="46" t="str">
        <f>IFERROR(HLOOKUP(AI4,Reference!1:2,2,0),"")</f>
        <v/>
      </c>
      <c r="AJ5" s="46" t="str">
        <f>IFERROR(HLOOKUP(AJ4,Reference!1:2,2,0),"")</f>
        <v/>
      </c>
      <c r="AK5" s="46" t="str">
        <f>IFERROR(HLOOKUP(AK4,Reference!1:2,2,0),"")</f>
        <v/>
      </c>
      <c r="AL5" s="47" t="str">
        <f>IFERROR(HLOOKUP(AL4,Reference!1:2,2,0),"")</f>
        <v/>
      </c>
      <c r="AM5" s="48"/>
      <c r="AN5" s="43"/>
      <c r="AO5" s="43"/>
      <c r="AP5" s="43"/>
      <c r="AQ5" s="43"/>
      <c r="AR5" s="43"/>
      <c r="AS5" s="43"/>
      <c r="AT5" s="43"/>
      <c r="AU5" s="43"/>
      <c r="AV5" s="43"/>
      <c r="AW5" s="43"/>
      <c r="AX5" s="43"/>
      <c r="AY5" s="43"/>
      <c r="AZ5" s="43"/>
      <c r="BA5" s="43"/>
      <c r="BB5" s="43"/>
      <c r="BC5" s="43"/>
      <c r="BD5" s="49"/>
      <c r="BE5" s="43"/>
      <c r="BF5" s="44"/>
    </row>
    <row r="6" spans="1:58">
      <c r="A6" s="50">
        <v>0</v>
      </c>
      <c r="B6" s="51">
        <v>12345</v>
      </c>
      <c r="C6" s="110" t="s">
        <v>89</v>
      </c>
      <c r="D6" s="52">
        <v>105</v>
      </c>
      <c r="E6" s="110"/>
      <c r="F6" s="53"/>
      <c r="G6" s="54" t="s">
        <v>117</v>
      </c>
      <c r="H6" s="52" t="s">
        <v>117</v>
      </c>
      <c r="I6" s="52"/>
      <c r="J6" s="52" t="s">
        <v>118</v>
      </c>
      <c r="K6" s="52" t="s">
        <v>119</v>
      </c>
      <c r="L6" s="52" t="s">
        <v>117</v>
      </c>
      <c r="M6" s="52"/>
      <c r="N6" s="52"/>
      <c r="O6" s="52" t="s">
        <v>117</v>
      </c>
      <c r="P6" s="52" t="s">
        <v>117</v>
      </c>
      <c r="Q6" s="52"/>
      <c r="R6" s="52"/>
      <c r="S6" s="52" t="s">
        <v>117</v>
      </c>
      <c r="T6" s="52" t="s">
        <v>117</v>
      </c>
      <c r="U6" s="52"/>
      <c r="V6" s="52"/>
      <c r="W6" s="52" t="s">
        <v>117</v>
      </c>
      <c r="X6" s="52" t="s">
        <v>117</v>
      </c>
      <c r="Y6" s="52" t="s">
        <v>117</v>
      </c>
      <c r="Z6" s="52"/>
      <c r="AA6" s="52" t="s">
        <v>117</v>
      </c>
      <c r="AB6" s="52" t="s">
        <v>117</v>
      </c>
      <c r="AC6" s="52"/>
      <c r="AD6" s="52" t="s">
        <v>118</v>
      </c>
      <c r="AE6" s="52" t="s">
        <v>118</v>
      </c>
      <c r="AF6" s="52" t="s">
        <v>118</v>
      </c>
      <c r="AG6" s="52"/>
      <c r="AH6" s="52"/>
      <c r="AI6" s="52" t="s">
        <v>117</v>
      </c>
      <c r="AJ6" s="52" t="s">
        <v>117</v>
      </c>
      <c r="AK6" s="52"/>
      <c r="AL6" s="55"/>
      <c r="AM6" s="60">
        <f t="shared" ref="AM6" si="0">COUNTIFS(G6:AK6,"早12",$G$4:$AK$4,"&lt;="&amp;$D$2)*12</f>
        <v>48</v>
      </c>
      <c r="AN6" s="61">
        <f t="shared" ref="AN6" si="1">COUNTIFS(G6:AK6,"夜12",$G$4:$AK$4,"&lt;="&amp;$D$2)*12</f>
        <v>168</v>
      </c>
      <c r="AO6" s="61">
        <f t="shared" ref="AO6" si="2">COUNTIFS(G6:AK6,"日8",$G$4:$AK$4,"&lt;="&amp;$D$2)*8</f>
        <v>8</v>
      </c>
      <c r="AP6" s="61"/>
      <c r="AQ6" s="61"/>
      <c r="AR6" s="61"/>
      <c r="AS6" s="61" t="e">
        <f t="shared" ref="AS6" si="3">COUNTIFS(G6:AK6,"早12",$G$4:$AK$4,"&lt;="&amp;$D$2,$G$5:$AK$5,"PH")*12+COUNTIFS(G6:AK6,"日8",$G$4:$AK$4,"&lt;="&amp;$D$2,$G$5:$AK$5,"PH")*8+COUNTIFS(G6:AK6,"夜12",$G$4:$AK$4,"&lt;="&amp;$D$2,$G$5:$AK$5,"PH")*4+
IF(AND(G6="夜12",$H$5="PH",$G$4&lt;=$D$2),8,0)+IF(AND(H6="夜12",$I$5="PH",$H$4&lt;=$D$2),8,0)+IF(AND(I6="夜12",$J$5="PH",$I$4&lt;=$D$2),8,0)+IF(AND(J6="夜12",$K$5="PH",$J$4&lt;=$D$2),8,0)+IF(AND(K6="夜12",$L$5="PH",$K$4&lt;=$D$2),8,0)+IF(AND(L6="夜12",$M$5="PH",$L$4&lt;=$D$2),8,0)+IF(AND(M6="夜12",$N$5="PH",$M$4&lt;=$D$2),8,0)+IF(AND(N6="夜12",$O$5="PH",$N$4&lt;=$D$2),8,0)+IF(AND(O6="夜12",$P$5="PH",$O$4&lt;=$D$2),8,0)+IF(AND(P6="夜12",$Q$5="PH",$P$4&lt;=$D$2),8,0)+IF(AND(Q6="夜12",$R$5="PH",$Q$4&lt;=$D$2),8,0)+IF(AND(R6="夜12",$S$5="PH",$R$4&lt;=$D$2),8,0)+IF(AND(S6="夜12",$T$5="PH",$S$4&lt;=$D$2),8,0)+IF(AND(T6="夜12",$U$5="PH",$T$4&lt;=$D$2),8,0)+IF(AND(U6="夜12",$V$5="PH",$U$4&lt;=$D$2),8,0)+IF(AND(V6="夜12",$W$5="PH",$V$4&lt;=$D$2),8,0)+IF(AND(W6="夜12",$X$5="PH",$W$4&lt;=$D$2),8,0)+IF(AND(X6="夜12",$Y$5="PH",$X$4&lt;=$D$2),8,0)+IF(AND(Y6="夜12",$Z$5="PH",$Y$4&lt;=$D$2),8,0)+IF(AND(Z6="夜12",$AA$5="PH",$Z$4&lt;=$D$2),8,0)+IF(AND(AA6="夜12",$AB$5="PH",$AA$4&lt;=$D$2),8,0)+IF(AND(AB6="夜12",$AC$5="PH",$AB$4&lt;=$D$2),8,0)+IF(AND(AC6="夜12",$AD$5="PH",$AC$4&lt;=$D$2),8,0)+IF(AND(AD6="夜12",$AE$5="PH",$AD$4&lt;=$D$2),8,0)+IF(AND(AE6="夜12",$AF$5="PH",$AE$4&lt;=$D$2),8,0)+IF(AND(AF6="夜12",$AG$5="PH",$AF$4&lt;=$D$2),8,0)+IF(AND(AG6="夜12",$AH$5="PH",$AG$4&lt;=$D$2),8,0)+IF(AND(AH6="夜12",$AI$5="PH",$AH$4&lt;=$D$2),8,0)+IF(AND(AI6="夜12",$AJ$5="PH",$AI$4&lt;=$D$2),8,0)+IF(AND(AJ6="夜12",$AK$5="PH",$AJ$4&lt;=$D$2),8,0)+IF(AND(AK6="夜12",$AL$5="PH",$AK$4&lt;=$D$2),8,0)</f>
        <v>#VALUE!</v>
      </c>
      <c r="AT6" s="52"/>
      <c r="AU6" s="52"/>
      <c r="AV6" s="57" t="e">
        <f>SUM(AM6:AO6)-AS6+AT6</f>
        <v>#VALUE!</v>
      </c>
      <c r="AW6" s="57" t="e">
        <f t="shared" ref="AW6" si="4">AV6/8</f>
        <v>#VALUE!</v>
      </c>
      <c r="AX6" s="57" t="e">
        <f t="shared" ref="AX6:AX36" si="5">NETWORKDAYS($C$2,$D$2)</f>
        <v>#VALUE!</v>
      </c>
      <c r="AY6" s="57" t="e">
        <f t="shared" ref="AY6" si="6">ROUND(IF(AW6&gt;=AX6,AX6,AW6)*D6,2)</f>
        <v>#VALUE!</v>
      </c>
      <c r="AZ6" s="57" t="e">
        <f t="shared" ref="AZ6" si="7">ROUND(IF((AW6-AX6)*1.5*D6&lt;0,0,(AW6-AX6)*1.5*D6),2)</f>
        <v>#VALUE!</v>
      </c>
      <c r="BA6" s="57" t="e">
        <f t="shared" ref="BA6" si="8">ROUND(D6/8*(AS6+AU6)*3,2)</f>
        <v>#VALUE!</v>
      </c>
      <c r="BB6" s="101">
        <f>COUNTIFS(G6:AK6,"早12",$G$4:$AK$4,"&lt;="&amp;$D$2)*50+COUNTIFS(G6:AK6,"夜12",$G$4:$AK$4,"&lt;="&amp;$D$2)*50</f>
        <v>900</v>
      </c>
      <c r="BC6" s="52">
        <v>500</v>
      </c>
      <c r="BD6" s="58" t="e">
        <f t="shared" ref="BD6" si="9">SUM(AY6:BC6)</f>
        <v>#VALUE!</v>
      </c>
      <c r="BE6" s="52"/>
      <c r="BF6" s="116" t="s">
        <v>55</v>
      </c>
    </row>
    <row r="7" spans="1:58">
      <c r="A7" s="59">
        <v>1</v>
      </c>
      <c r="B7" s="128"/>
      <c r="C7" s="130"/>
      <c r="D7" s="131"/>
      <c r="E7" s="130"/>
      <c r="F7" s="132"/>
      <c r="G7" s="133"/>
      <c r="H7" s="131"/>
      <c r="I7" s="131"/>
      <c r="J7" s="131"/>
      <c r="K7" s="131"/>
      <c r="L7" s="131"/>
      <c r="M7" s="131"/>
      <c r="N7" s="131"/>
      <c r="O7" s="131"/>
      <c r="P7" s="131"/>
      <c r="Q7" s="131"/>
      <c r="R7" s="131"/>
      <c r="S7" s="131"/>
      <c r="T7" s="131"/>
      <c r="U7" s="131"/>
      <c r="V7" s="131"/>
      <c r="W7" s="131"/>
      <c r="X7" s="131"/>
      <c r="Y7" s="131"/>
      <c r="Z7" s="131"/>
      <c r="AA7" s="131"/>
      <c r="AB7" s="131"/>
      <c r="AC7" s="131"/>
      <c r="AD7" s="131"/>
      <c r="AE7" s="131"/>
      <c r="AF7" s="131"/>
      <c r="AG7" s="131"/>
      <c r="AH7" s="131"/>
      <c r="AI7" s="131"/>
      <c r="AJ7" s="131"/>
      <c r="AK7" s="131"/>
      <c r="AL7" s="134"/>
      <c r="AM7" s="60">
        <f>COUNTIFS(G7:AK7,"早12",$G$4:$AK$4,"&lt;="&amp;$D$2)*12</f>
        <v>0</v>
      </c>
      <c r="AN7" s="61">
        <f>COUNTIFS(G7:AK7,"夜12",$G$4:$AK$4,"&lt;="&amp;$D$2)*12</f>
        <v>0</v>
      </c>
      <c r="AO7" s="61">
        <f>COUNTIFS(G7:AK7,"日8",$G$4:$AK$4,"&lt;="&amp;$D$2)*8</f>
        <v>0</v>
      </c>
      <c r="AP7" s="61"/>
      <c r="AQ7" s="61"/>
      <c r="AR7" s="61"/>
      <c r="AS7" s="61" t="e">
        <f>COUNTIFS(G7:AK7,"早12",$G$4:$AK$4,"&lt;="&amp;$D$2,$G$5:$AK$5,"PH")*12+COUNTIFS(G7:AK7,"日8",$G$4:$AK$4,"&lt;="&amp;$D$2,$G$5:$AK$5,"PH")*8+COUNTIFS(G7:AK7,"夜12",$G$4:$AK$4,"&lt;="&amp;$D$2,$G$5:$AK$5,"PH")*4+
IF(AND(G7="夜12",$H$5="PH",$G$4&lt;=$D$2),8,0)+IF(AND(H7="夜12",$I$5="PH",$H$4&lt;=$D$2),8,0)+IF(AND(I7="夜12",$J$5="PH",$I$4&lt;=$D$2),8,0)+IF(AND(J7="夜12",$K$5="PH",$J$4&lt;=$D$2),8,0)+IF(AND(K7="夜12",$L$5="PH",$K$4&lt;=$D$2),8,0)+IF(AND(L7="夜12",$M$5="PH",$L$4&lt;=$D$2),8,0)+IF(AND(M7="夜12",$N$5="PH",$M$4&lt;=$D$2),8,0)+IF(AND(N7="夜12",$O$5="PH",$N$4&lt;=$D$2),8,0)+IF(AND(O7="夜12",$P$5="PH",$O$4&lt;=$D$2),8,0)+IF(AND(P7="夜12",$Q$5="PH",$P$4&lt;=$D$2),8,0)+IF(AND(Q7="夜12",$R$5="PH",$Q$4&lt;=$D$2),8,0)+IF(AND(R7="夜12",$S$5="PH",$R$4&lt;=$D$2),8,0)+IF(AND(S7="夜12",$T$5="PH",$S$4&lt;=$D$2),8,0)+IF(AND(T7="夜12",$U$5="PH",$T$4&lt;=$D$2),8,0)+IF(AND(U7="夜12",$V$5="PH",$U$4&lt;=$D$2),8,0)+IF(AND(V7="夜12",$W$5="PH",$V$4&lt;=$D$2),8,0)+IF(AND(W7="夜12",$X$5="PH",$W$4&lt;=$D$2),8,0)+IF(AND(X7="夜12",$Y$5="PH",$X$4&lt;=$D$2),8,0)+IF(AND(Y7="夜12",$Z$5="PH",$Y$4&lt;=$D$2),8,0)+IF(AND(Z7="夜12",$AA$5="PH",$Z$4&lt;=$D$2),8,0)+IF(AND(AA7="夜12",$AB$5="PH",$AA$4&lt;=$D$2),8,0)+IF(AND(AB7="夜12",$AC$5="PH",$AB$4&lt;=$D$2),8,0)+IF(AND(AC7="夜12",$AD$5="PH",$AC$4&lt;=$D$2),8,0)+IF(AND(AD7="夜12",$AE$5="PH",$AD$4&lt;=$D$2),8,0)+IF(AND(AE7="夜12",$AF$5="PH",$AE$4&lt;=$D$2),8,0)+IF(AND(AF7="夜12",$AG$5="PH",$AF$4&lt;=$D$2),8,0)+IF(AND(AG7="夜12",$AH$5="PH",$AG$4&lt;=$D$2),8,0)+IF(AND(AH7="夜12",$AI$5="PH",$AH$4&lt;=$D$2),8,0)+IF(AND(AI7="夜12",$AJ$5="PH",$AI$4&lt;=$D$2),8,0)+IF(AND(AJ7="夜12",$AK$5="PH",$AJ$4&lt;=$D$2),8,0)+IF(AND(AK7="夜12",$AL$5="PH",$AK$4&lt;=$D$2),8,0)</f>
        <v>#VALUE!</v>
      </c>
      <c r="AT7" s="105"/>
      <c r="AU7" s="105"/>
      <c r="AV7" s="61" t="e">
        <f t="shared" ref="AV7:AV8" si="10">SUM(AM7:AO7)-AS7+AT7</f>
        <v>#VALUE!</v>
      </c>
      <c r="AW7" s="61" t="e">
        <f t="shared" ref="AW7:AW21" si="11">AV7/8</f>
        <v>#VALUE!</v>
      </c>
      <c r="AX7" s="61" t="e">
        <f t="shared" si="5"/>
        <v>#VALUE!</v>
      </c>
      <c r="AY7" s="61" t="e">
        <f t="shared" ref="AY7:AY21" si="12">ROUND(IF(AW7&gt;=AX7,AX7,AW7)*D7,2)</f>
        <v>#VALUE!</v>
      </c>
      <c r="AZ7" s="61" t="e">
        <f t="shared" ref="AZ7:AZ21" si="13">ROUND(IF((AW7-AX7)*1.5*D7&lt;0,0,(AW7-AX7)*1.5*D7),2)</f>
        <v>#VALUE!</v>
      </c>
      <c r="BA7" s="61" t="e">
        <f t="shared" ref="BA7:BA21" si="14">ROUND(D7/8*(AS7+AU7)*3,2)</f>
        <v>#VALUE!</v>
      </c>
      <c r="BB7" s="61">
        <f t="shared" ref="BB7:BB21" si="15">COUNTIFS(G7:AK7,"早12",$G$4:$AK$4,"&lt;="&amp;$D$2)*50+COUNTIFS(G7:AK7,"夜12",$G$4:$AK$4,"&lt;="&amp;$D$2)*50</f>
        <v>0</v>
      </c>
      <c r="BC7" s="105"/>
      <c r="BD7" s="62" t="e">
        <f t="shared" ref="BD7:BD21" si="16">SUM(AY7:BC7)</f>
        <v>#VALUE!</v>
      </c>
      <c r="BE7" s="105"/>
      <c r="BF7" s="117" t="s">
        <v>55</v>
      </c>
    </row>
    <row r="8" spans="1:58">
      <c r="A8" s="59">
        <v>2</v>
      </c>
      <c r="B8" s="128"/>
      <c r="C8" s="130"/>
      <c r="D8" s="131"/>
      <c r="E8" s="130"/>
      <c r="F8" s="132"/>
      <c r="G8" s="133"/>
      <c r="H8" s="131"/>
      <c r="I8" s="131"/>
      <c r="J8" s="131"/>
      <c r="K8" s="131"/>
      <c r="L8" s="131"/>
      <c r="M8" s="131"/>
      <c r="N8" s="131"/>
      <c r="O8" s="131"/>
      <c r="P8" s="131"/>
      <c r="Q8" s="131"/>
      <c r="R8" s="131"/>
      <c r="S8" s="131"/>
      <c r="T8" s="131"/>
      <c r="U8" s="131"/>
      <c r="V8" s="131"/>
      <c r="W8" s="131"/>
      <c r="X8" s="131"/>
      <c r="Y8" s="131"/>
      <c r="Z8" s="131"/>
      <c r="AA8" s="131"/>
      <c r="AB8" s="131"/>
      <c r="AC8" s="131"/>
      <c r="AD8" s="131"/>
      <c r="AE8" s="131"/>
      <c r="AF8" s="131"/>
      <c r="AG8" s="131"/>
      <c r="AH8" s="131"/>
      <c r="AI8" s="131"/>
      <c r="AJ8" s="131"/>
      <c r="AK8" s="131"/>
      <c r="AL8" s="134"/>
      <c r="AM8" s="60">
        <f t="shared" ref="AM8:AM36" si="17">COUNTIFS(G8:AK8,"早12",$G$4:$AK$4,"&lt;="&amp;$D$2)*12</f>
        <v>0</v>
      </c>
      <c r="AN8" s="61">
        <f t="shared" ref="AN8:AN21" si="18">COUNTIFS(G8:AK8,"夜12",$G$4:$AK$4,"&lt;="&amp;$D$2)*12</f>
        <v>0</v>
      </c>
      <c r="AO8" s="61">
        <f t="shared" ref="AO8:AO21" si="19">COUNTIFS(G8:AK8,"日8",$G$4:$AK$4,"&lt;="&amp;$D$2)*8</f>
        <v>0</v>
      </c>
      <c r="AP8" s="61"/>
      <c r="AQ8" s="61"/>
      <c r="AR8" s="61"/>
      <c r="AS8" s="61" t="e">
        <f t="shared" ref="AS8:AS21" si="20">COUNTIFS(G8:AK8,"早12",$G$4:$AK$4,"&lt;="&amp;$D$2,$G$5:$AK$5,"PH")*12+COUNTIFS(G8:AK8,"日8",$G$4:$AK$4,"&lt;="&amp;$D$2,$G$5:$AK$5,"PH")*8+COUNTIFS(G8:AK8,"夜12",$G$4:$AK$4,"&lt;="&amp;$D$2,$G$5:$AK$5,"PH")*4+
IF(AND(G8="夜12",$H$5="PH",$G$4&lt;=$D$2),8,0)+IF(AND(H8="夜12",$I$5="PH",$H$4&lt;=$D$2),8,0)+IF(AND(I8="夜12",$J$5="PH",$I$4&lt;=$D$2),8,0)+IF(AND(J8="夜12",$K$5="PH",$J$4&lt;=$D$2),8,0)+IF(AND(K8="夜12",$L$5="PH",$K$4&lt;=$D$2),8,0)+IF(AND(L8="夜12",$M$5="PH",$L$4&lt;=$D$2),8,0)+IF(AND(M8="夜12",$N$5="PH",$M$4&lt;=$D$2),8,0)+IF(AND(N8="夜12",$O$5="PH",$N$4&lt;=$D$2),8,0)+IF(AND(O8="夜12",$P$5="PH",$O$4&lt;=$D$2),8,0)+IF(AND(P8="夜12",$Q$5="PH",$P$4&lt;=$D$2),8,0)+IF(AND(Q8="夜12",$R$5="PH",$Q$4&lt;=$D$2),8,0)+IF(AND(R8="夜12",$S$5="PH",$R$4&lt;=$D$2),8,0)+IF(AND(S8="夜12",$T$5="PH",$S$4&lt;=$D$2),8,0)+IF(AND(T8="夜12",$U$5="PH",$T$4&lt;=$D$2),8,0)+IF(AND(U8="夜12",$V$5="PH",$U$4&lt;=$D$2),8,0)+IF(AND(V8="夜12",$W$5="PH",$V$4&lt;=$D$2),8,0)+IF(AND(W8="夜12",$X$5="PH",$W$4&lt;=$D$2),8,0)+IF(AND(X8="夜12",$Y$5="PH",$X$4&lt;=$D$2),8,0)+IF(AND(Y8="夜12",$Z$5="PH",$Y$4&lt;=$D$2),8,0)+IF(AND(Z8="夜12",$AA$5="PH",$Z$4&lt;=$D$2),8,0)+IF(AND(AA8="夜12",$AB$5="PH",$AA$4&lt;=$D$2),8,0)+IF(AND(AB8="夜12",$AC$5="PH",$AB$4&lt;=$D$2),8,0)+IF(AND(AC8="夜12",$AD$5="PH",$AC$4&lt;=$D$2),8,0)+IF(AND(AD8="夜12",$AE$5="PH",$AD$4&lt;=$D$2),8,0)+IF(AND(AE8="夜12",$AF$5="PH",$AE$4&lt;=$D$2),8,0)+IF(AND(AF8="夜12",$AG$5="PH",$AF$4&lt;=$D$2),8,0)+IF(AND(AG8="夜12",$AH$5="PH",$AG$4&lt;=$D$2),8,0)+IF(AND(AH8="夜12",$AI$5="PH",$AH$4&lt;=$D$2),8,0)+IF(AND(AI8="夜12",$AJ$5="PH",$AI$4&lt;=$D$2),8,0)+IF(AND(AJ8="夜12",$AK$5="PH",$AJ$4&lt;=$D$2),8,0)+IF(AND(AK8="夜12",$AL$5="PH",$AK$4&lt;=$D$2),8,0)</f>
        <v>#VALUE!</v>
      </c>
      <c r="AT8" s="105"/>
      <c r="AU8" s="105"/>
      <c r="AV8" s="61" t="e">
        <f t="shared" si="10"/>
        <v>#VALUE!</v>
      </c>
      <c r="AW8" s="61" t="e">
        <f t="shared" si="11"/>
        <v>#VALUE!</v>
      </c>
      <c r="AX8" s="61" t="e">
        <f t="shared" si="5"/>
        <v>#VALUE!</v>
      </c>
      <c r="AY8" s="61" t="e">
        <f t="shared" si="12"/>
        <v>#VALUE!</v>
      </c>
      <c r="AZ8" s="61" t="e">
        <f t="shared" si="13"/>
        <v>#VALUE!</v>
      </c>
      <c r="BA8" s="61" t="e">
        <f t="shared" si="14"/>
        <v>#VALUE!</v>
      </c>
      <c r="BB8" s="61">
        <f t="shared" si="15"/>
        <v>0</v>
      </c>
      <c r="BC8" s="105"/>
      <c r="BD8" s="62" t="e">
        <f t="shared" si="16"/>
        <v>#VALUE!</v>
      </c>
      <c r="BE8" s="105"/>
      <c r="BF8" s="117" t="s">
        <v>55</v>
      </c>
    </row>
    <row r="9" spans="1:58">
      <c r="A9" s="59">
        <v>3</v>
      </c>
      <c r="B9" s="128"/>
      <c r="C9" s="130"/>
      <c r="D9" s="131"/>
      <c r="E9" s="130"/>
      <c r="F9" s="132"/>
      <c r="G9" s="133"/>
      <c r="H9" s="131"/>
      <c r="I9" s="131"/>
      <c r="J9" s="131"/>
      <c r="K9" s="131"/>
      <c r="L9" s="131"/>
      <c r="M9" s="131"/>
      <c r="N9" s="131"/>
      <c r="O9" s="131"/>
      <c r="P9" s="131"/>
      <c r="Q9" s="131"/>
      <c r="R9" s="131"/>
      <c r="S9" s="131"/>
      <c r="T9" s="131"/>
      <c r="U9" s="131"/>
      <c r="V9" s="131"/>
      <c r="W9" s="131"/>
      <c r="X9" s="131"/>
      <c r="Y9" s="131"/>
      <c r="Z9" s="131"/>
      <c r="AA9" s="131"/>
      <c r="AB9" s="131"/>
      <c r="AC9" s="131"/>
      <c r="AD9" s="131"/>
      <c r="AE9" s="131"/>
      <c r="AF9" s="131"/>
      <c r="AG9" s="131"/>
      <c r="AH9" s="131"/>
      <c r="AI9" s="131"/>
      <c r="AJ9" s="131"/>
      <c r="AK9" s="131"/>
      <c r="AL9" s="134"/>
      <c r="AM9" s="60">
        <f t="shared" si="17"/>
        <v>0</v>
      </c>
      <c r="AN9" s="61">
        <f t="shared" si="18"/>
        <v>0</v>
      </c>
      <c r="AO9" s="61">
        <f t="shared" si="19"/>
        <v>0</v>
      </c>
      <c r="AP9" s="61"/>
      <c r="AQ9" s="61"/>
      <c r="AR9" s="61"/>
      <c r="AS9" s="61" t="e">
        <f t="shared" si="20"/>
        <v>#VALUE!</v>
      </c>
      <c r="AT9" s="105"/>
      <c r="AU9" s="105"/>
      <c r="AV9" s="61" t="e">
        <f>SUM(AM9:AO9)-AS9+AT9</f>
        <v>#VALUE!</v>
      </c>
      <c r="AW9" s="61" t="e">
        <f t="shared" si="11"/>
        <v>#VALUE!</v>
      </c>
      <c r="AX9" s="61" t="e">
        <f t="shared" si="5"/>
        <v>#VALUE!</v>
      </c>
      <c r="AY9" s="61" t="e">
        <f t="shared" si="12"/>
        <v>#VALUE!</v>
      </c>
      <c r="AZ9" s="61" t="e">
        <f t="shared" si="13"/>
        <v>#VALUE!</v>
      </c>
      <c r="BA9" s="61" t="e">
        <f t="shared" si="14"/>
        <v>#VALUE!</v>
      </c>
      <c r="BB9" s="61">
        <f t="shared" si="15"/>
        <v>0</v>
      </c>
      <c r="BC9" s="105"/>
      <c r="BD9" s="62" t="e">
        <f t="shared" si="16"/>
        <v>#VALUE!</v>
      </c>
      <c r="BE9" s="105"/>
      <c r="BF9" s="117" t="s">
        <v>55</v>
      </c>
    </row>
    <row r="10" spans="1:58">
      <c r="A10" s="59">
        <v>4</v>
      </c>
      <c r="B10" s="128"/>
      <c r="C10" s="130"/>
      <c r="D10" s="131"/>
      <c r="E10" s="130"/>
      <c r="F10" s="132"/>
      <c r="G10" s="133"/>
      <c r="H10" s="131"/>
      <c r="I10" s="131"/>
      <c r="J10" s="131"/>
      <c r="K10" s="131"/>
      <c r="L10" s="131"/>
      <c r="M10" s="131"/>
      <c r="N10" s="131"/>
      <c r="O10" s="131"/>
      <c r="P10" s="131"/>
      <c r="Q10" s="131"/>
      <c r="R10" s="131"/>
      <c r="S10" s="131"/>
      <c r="T10" s="131"/>
      <c r="U10" s="131"/>
      <c r="V10" s="131"/>
      <c r="W10" s="131"/>
      <c r="X10" s="131"/>
      <c r="Y10" s="131"/>
      <c r="Z10" s="131"/>
      <c r="AA10" s="131"/>
      <c r="AB10" s="131"/>
      <c r="AC10" s="131"/>
      <c r="AD10" s="131"/>
      <c r="AE10" s="131"/>
      <c r="AF10" s="131"/>
      <c r="AG10" s="131"/>
      <c r="AH10" s="131"/>
      <c r="AI10" s="131"/>
      <c r="AJ10" s="131"/>
      <c r="AK10" s="131"/>
      <c r="AL10" s="134"/>
      <c r="AM10" s="60">
        <f t="shared" si="17"/>
        <v>0</v>
      </c>
      <c r="AN10" s="61">
        <f t="shared" si="18"/>
        <v>0</v>
      </c>
      <c r="AO10" s="61">
        <f t="shared" si="19"/>
        <v>0</v>
      </c>
      <c r="AP10" s="61"/>
      <c r="AQ10" s="61"/>
      <c r="AR10" s="61"/>
      <c r="AS10" s="61" t="e">
        <f t="shared" si="20"/>
        <v>#VALUE!</v>
      </c>
      <c r="AT10" s="105"/>
      <c r="AU10" s="105"/>
      <c r="AV10" s="61" t="e">
        <f t="shared" ref="AV10:AV11" si="21">SUM(AM10:AO10)-AS10+AT10</f>
        <v>#VALUE!</v>
      </c>
      <c r="AW10" s="61" t="e">
        <f t="shared" si="11"/>
        <v>#VALUE!</v>
      </c>
      <c r="AX10" s="61" t="e">
        <f t="shared" si="5"/>
        <v>#VALUE!</v>
      </c>
      <c r="AY10" s="61" t="e">
        <f t="shared" si="12"/>
        <v>#VALUE!</v>
      </c>
      <c r="AZ10" s="61" t="e">
        <f t="shared" si="13"/>
        <v>#VALUE!</v>
      </c>
      <c r="BA10" s="61" t="e">
        <f t="shared" si="14"/>
        <v>#VALUE!</v>
      </c>
      <c r="BB10" s="61">
        <f t="shared" si="15"/>
        <v>0</v>
      </c>
      <c r="BC10" s="105"/>
      <c r="BD10" s="62" t="e">
        <f t="shared" si="16"/>
        <v>#VALUE!</v>
      </c>
      <c r="BE10" s="105"/>
      <c r="BF10" s="117" t="s">
        <v>55</v>
      </c>
    </row>
    <row r="11" spans="1:58">
      <c r="A11" s="59">
        <v>5</v>
      </c>
      <c r="B11" s="128"/>
      <c r="C11" s="130"/>
      <c r="D11" s="131"/>
      <c r="E11" s="130"/>
      <c r="F11" s="132"/>
      <c r="G11" s="133"/>
      <c r="H11" s="131"/>
      <c r="I11" s="131"/>
      <c r="J11" s="131"/>
      <c r="K11" s="131"/>
      <c r="L11" s="131"/>
      <c r="M11" s="131"/>
      <c r="N11" s="131"/>
      <c r="O11" s="131"/>
      <c r="P11" s="131"/>
      <c r="Q11" s="131"/>
      <c r="R11" s="131"/>
      <c r="S11" s="131"/>
      <c r="T11" s="131"/>
      <c r="U11" s="131"/>
      <c r="V11" s="131"/>
      <c r="W11" s="131"/>
      <c r="X11" s="131"/>
      <c r="Y11" s="131"/>
      <c r="Z11" s="131"/>
      <c r="AA11" s="131"/>
      <c r="AB11" s="131"/>
      <c r="AC11" s="131"/>
      <c r="AD11" s="131"/>
      <c r="AE11" s="131"/>
      <c r="AF11" s="131"/>
      <c r="AG11" s="131"/>
      <c r="AH11" s="131"/>
      <c r="AI11" s="131"/>
      <c r="AJ11" s="131"/>
      <c r="AK11" s="131"/>
      <c r="AL11" s="134"/>
      <c r="AM11" s="60">
        <f t="shared" si="17"/>
        <v>0</v>
      </c>
      <c r="AN11" s="61">
        <f t="shared" si="18"/>
        <v>0</v>
      </c>
      <c r="AO11" s="61">
        <f t="shared" si="19"/>
        <v>0</v>
      </c>
      <c r="AP11" s="61"/>
      <c r="AQ11" s="61"/>
      <c r="AR11" s="61"/>
      <c r="AS11" s="61" t="e">
        <f t="shared" si="20"/>
        <v>#VALUE!</v>
      </c>
      <c r="AT11" s="105"/>
      <c r="AU11" s="105"/>
      <c r="AV11" s="61" t="e">
        <f t="shared" si="21"/>
        <v>#VALUE!</v>
      </c>
      <c r="AW11" s="61" t="e">
        <f t="shared" si="11"/>
        <v>#VALUE!</v>
      </c>
      <c r="AX11" s="61" t="e">
        <f t="shared" si="5"/>
        <v>#VALUE!</v>
      </c>
      <c r="AY11" s="61" t="e">
        <f t="shared" si="12"/>
        <v>#VALUE!</v>
      </c>
      <c r="AZ11" s="61" t="e">
        <f t="shared" si="13"/>
        <v>#VALUE!</v>
      </c>
      <c r="BA11" s="61" t="e">
        <f t="shared" si="14"/>
        <v>#VALUE!</v>
      </c>
      <c r="BB11" s="61">
        <f t="shared" si="15"/>
        <v>0</v>
      </c>
      <c r="BC11" s="105"/>
      <c r="BD11" s="62" t="e">
        <f t="shared" si="16"/>
        <v>#VALUE!</v>
      </c>
      <c r="BE11" s="105"/>
      <c r="BF11" s="117" t="s">
        <v>55</v>
      </c>
    </row>
    <row r="12" spans="1:58">
      <c r="A12" s="59">
        <v>6</v>
      </c>
      <c r="B12" s="128"/>
      <c r="C12" s="130"/>
      <c r="D12" s="131"/>
      <c r="E12" s="130"/>
      <c r="F12" s="132"/>
      <c r="G12" s="133"/>
      <c r="H12" s="131"/>
      <c r="I12" s="131"/>
      <c r="J12" s="131"/>
      <c r="K12" s="131"/>
      <c r="L12" s="131"/>
      <c r="M12" s="131"/>
      <c r="N12" s="131"/>
      <c r="O12" s="131"/>
      <c r="P12" s="131"/>
      <c r="Q12" s="131"/>
      <c r="R12" s="131"/>
      <c r="S12" s="131"/>
      <c r="T12" s="131"/>
      <c r="U12" s="131"/>
      <c r="V12" s="131"/>
      <c r="W12" s="131"/>
      <c r="X12" s="131"/>
      <c r="Y12" s="131"/>
      <c r="Z12" s="131"/>
      <c r="AA12" s="131"/>
      <c r="AB12" s="131"/>
      <c r="AC12" s="131"/>
      <c r="AD12" s="131"/>
      <c r="AE12" s="131"/>
      <c r="AF12" s="131"/>
      <c r="AG12" s="131"/>
      <c r="AH12" s="131"/>
      <c r="AI12" s="131"/>
      <c r="AJ12" s="131"/>
      <c r="AK12" s="131"/>
      <c r="AL12" s="134"/>
      <c r="AM12" s="60">
        <f t="shared" si="17"/>
        <v>0</v>
      </c>
      <c r="AN12" s="61">
        <f t="shared" si="18"/>
        <v>0</v>
      </c>
      <c r="AO12" s="61">
        <f t="shared" si="19"/>
        <v>0</v>
      </c>
      <c r="AP12" s="61"/>
      <c r="AQ12" s="61"/>
      <c r="AR12" s="61"/>
      <c r="AS12" s="61" t="e">
        <f t="shared" si="20"/>
        <v>#VALUE!</v>
      </c>
      <c r="AT12" s="105"/>
      <c r="AU12" s="105"/>
      <c r="AV12" s="61" t="e">
        <f>SUM(AM12:AO12)-AS12+AT12</f>
        <v>#VALUE!</v>
      </c>
      <c r="AW12" s="61" t="e">
        <f t="shared" si="11"/>
        <v>#VALUE!</v>
      </c>
      <c r="AX12" s="61" t="e">
        <f t="shared" si="5"/>
        <v>#VALUE!</v>
      </c>
      <c r="AY12" s="61" t="e">
        <f t="shared" si="12"/>
        <v>#VALUE!</v>
      </c>
      <c r="AZ12" s="61" t="e">
        <f t="shared" si="13"/>
        <v>#VALUE!</v>
      </c>
      <c r="BA12" s="61" t="e">
        <f t="shared" si="14"/>
        <v>#VALUE!</v>
      </c>
      <c r="BB12" s="61">
        <f t="shared" si="15"/>
        <v>0</v>
      </c>
      <c r="BC12" s="105"/>
      <c r="BD12" s="62" t="e">
        <f t="shared" si="16"/>
        <v>#VALUE!</v>
      </c>
      <c r="BE12" s="105"/>
      <c r="BF12" s="117" t="s">
        <v>55</v>
      </c>
    </row>
    <row r="13" spans="1:58">
      <c r="A13" s="59">
        <v>7</v>
      </c>
      <c r="B13" s="128"/>
      <c r="C13" s="130"/>
      <c r="D13" s="131"/>
      <c r="E13" s="130"/>
      <c r="F13" s="132"/>
      <c r="G13" s="133"/>
      <c r="H13" s="131"/>
      <c r="I13" s="131"/>
      <c r="J13" s="131"/>
      <c r="K13" s="131"/>
      <c r="L13" s="131"/>
      <c r="M13" s="131"/>
      <c r="N13" s="131"/>
      <c r="O13" s="131"/>
      <c r="P13" s="131"/>
      <c r="Q13" s="131"/>
      <c r="R13" s="131"/>
      <c r="S13" s="131"/>
      <c r="T13" s="131"/>
      <c r="U13" s="131"/>
      <c r="V13" s="131"/>
      <c r="W13" s="131"/>
      <c r="X13" s="131"/>
      <c r="Y13" s="131"/>
      <c r="Z13" s="131"/>
      <c r="AA13" s="131"/>
      <c r="AB13" s="131"/>
      <c r="AC13" s="131"/>
      <c r="AD13" s="131"/>
      <c r="AE13" s="131"/>
      <c r="AF13" s="131"/>
      <c r="AG13" s="131"/>
      <c r="AH13" s="131"/>
      <c r="AI13" s="131"/>
      <c r="AJ13" s="131"/>
      <c r="AK13" s="131"/>
      <c r="AL13" s="134"/>
      <c r="AM13" s="60">
        <f t="shared" si="17"/>
        <v>0</v>
      </c>
      <c r="AN13" s="61">
        <f t="shared" si="18"/>
        <v>0</v>
      </c>
      <c r="AO13" s="61">
        <f t="shared" si="19"/>
        <v>0</v>
      </c>
      <c r="AP13" s="61"/>
      <c r="AQ13" s="61"/>
      <c r="AR13" s="61"/>
      <c r="AS13" s="61" t="e">
        <f t="shared" si="20"/>
        <v>#VALUE!</v>
      </c>
      <c r="AT13" s="105"/>
      <c r="AU13" s="105"/>
      <c r="AV13" s="61" t="e">
        <f t="shared" ref="AV13:AV14" si="22">SUM(AM13:AO13)-AS13+AT13</f>
        <v>#VALUE!</v>
      </c>
      <c r="AW13" s="61" t="e">
        <f t="shared" si="11"/>
        <v>#VALUE!</v>
      </c>
      <c r="AX13" s="61" t="e">
        <f t="shared" si="5"/>
        <v>#VALUE!</v>
      </c>
      <c r="AY13" s="61" t="e">
        <f t="shared" si="12"/>
        <v>#VALUE!</v>
      </c>
      <c r="AZ13" s="61" t="e">
        <f t="shared" si="13"/>
        <v>#VALUE!</v>
      </c>
      <c r="BA13" s="61" t="e">
        <f t="shared" si="14"/>
        <v>#VALUE!</v>
      </c>
      <c r="BB13" s="61">
        <f t="shared" si="15"/>
        <v>0</v>
      </c>
      <c r="BC13" s="105"/>
      <c r="BD13" s="62" t="e">
        <f t="shared" si="16"/>
        <v>#VALUE!</v>
      </c>
      <c r="BE13" s="105"/>
      <c r="BF13" s="117" t="s">
        <v>55</v>
      </c>
    </row>
    <row r="14" spans="1:58">
      <c r="A14" s="59">
        <v>8</v>
      </c>
      <c r="B14" s="128"/>
      <c r="C14" s="130"/>
      <c r="D14" s="131"/>
      <c r="E14" s="130"/>
      <c r="F14" s="132"/>
      <c r="G14" s="133"/>
      <c r="H14" s="131"/>
      <c r="I14" s="131"/>
      <c r="J14" s="131"/>
      <c r="K14" s="131"/>
      <c r="L14" s="131"/>
      <c r="M14" s="131"/>
      <c r="N14" s="131"/>
      <c r="O14" s="131"/>
      <c r="P14" s="131"/>
      <c r="Q14" s="131"/>
      <c r="R14" s="131"/>
      <c r="S14" s="131"/>
      <c r="T14" s="131"/>
      <c r="U14" s="131"/>
      <c r="V14" s="131"/>
      <c r="W14" s="131"/>
      <c r="X14" s="131"/>
      <c r="Y14" s="131"/>
      <c r="Z14" s="131"/>
      <c r="AA14" s="131"/>
      <c r="AB14" s="131"/>
      <c r="AC14" s="131"/>
      <c r="AD14" s="131"/>
      <c r="AE14" s="131"/>
      <c r="AF14" s="131"/>
      <c r="AG14" s="131"/>
      <c r="AH14" s="131"/>
      <c r="AI14" s="131"/>
      <c r="AJ14" s="131"/>
      <c r="AK14" s="131"/>
      <c r="AL14" s="134"/>
      <c r="AM14" s="60">
        <f t="shared" si="17"/>
        <v>0</v>
      </c>
      <c r="AN14" s="61">
        <f t="shared" si="18"/>
        <v>0</v>
      </c>
      <c r="AO14" s="61">
        <f t="shared" si="19"/>
        <v>0</v>
      </c>
      <c r="AP14" s="61"/>
      <c r="AQ14" s="61"/>
      <c r="AR14" s="61"/>
      <c r="AS14" s="61" t="e">
        <f t="shared" si="20"/>
        <v>#VALUE!</v>
      </c>
      <c r="AT14" s="105"/>
      <c r="AU14" s="105"/>
      <c r="AV14" s="61" t="e">
        <f t="shared" si="22"/>
        <v>#VALUE!</v>
      </c>
      <c r="AW14" s="61" t="e">
        <f t="shared" si="11"/>
        <v>#VALUE!</v>
      </c>
      <c r="AX14" s="61" t="e">
        <f t="shared" si="5"/>
        <v>#VALUE!</v>
      </c>
      <c r="AY14" s="61" t="e">
        <f t="shared" si="12"/>
        <v>#VALUE!</v>
      </c>
      <c r="AZ14" s="61" t="e">
        <f t="shared" si="13"/>
        <v>#VALUE!</v>
      </c>
      <c r="BA14" s="61" t="e">
        <f t="shared" si="14"/>
        <v>#VALUE!</v>
      </c>
      <c r="BB14" s="61">
        <f t="shared" si="15"/>
        <v>0</v>
      </c>
      <c r="BC14" s="105"/>
      <c r="BD14" s="62" t="e">
        <f t="shared" si="16"/>
        <v>#VALUE!</v>
      </c>
      <c r="BE14" s="105"/>
      <c r="BF14" s="117" t="s">
        <v>55</v>
      </c>
    </row>
    <row r="15" spans="1:58">
      <c r="A15" s="59">
        <v>9</v>
      </c>
      <c r="B15" s="128"/>
      <c r="C15" s="130"/>
      <c r="D15" s="131"/>
      <c r="E15" s="130"/>
      <c r="F15" s="132"/>
      <c r="G15" s="133"/>
      <c r="H15" s="131"/>
      <c r="I15" s="131"/>
      <c r="J15" s="131"/>
      <c r="K15" s="131"/>
      <c r="L15" s="131"/>
      <c r="M15" s="131"/>
      <c r="N15" s="131"/>
      <c r="O15" s="131"/>
      <c r="P15" s="131"/>
      <c r="Q15" s="131"/>
      <c r="R15" s="131"/>
      <c r="S15" s="131"/>
      <c r="T15" s="131"/>
      <c r="U15" s="131"/>
      <c r="V15" s="131"/>
      <c r="W15" s="131"/>
      <c r="X15" s="131"/>
      <c r="Y15" s="131"/>
      <c r="Z15" s="131"/>
      <c r="AA15" s="131"/>
      <c r="AB15" s="131"/>
      <c r="AC15" s="131"/>
      <c r="AD15" s="131"/>
      <c r="AE15" s="131"/>
      <c r="AF15" s="131"/>
      <c r="AG15" s="131"/>
      <c r="AH15" s="131"/>
      <c r="AI15" s="131"/>
      <c r="AJ15" s="131"/>
      <c r="AK15" s="131"/>
      <c r="AL15" s="134"/>
      <c r="AM15" s="60">
        <f t="shared" si="17"/>
        <v>0</v>
      </c>
      <c r="AN15" s="61">
        <f t="shared" si="18"/>
        <v>0</v>
      </c>
      <c r="AO15" s="61">
        <f t="shared" si="19"/>
        <v>0</v>
      </c>
      <c r="AP15" s="61"/>
      <c r="AQ15" s="61"/>
      <c r="AR15" s="61"/>
      <c r="AS15" s="61" t="e">
        <f t="shared" si="20"/>
        <v>#VALUE!</v>
      </c>
      <c r="AT15" s="105"/>
      <c r="AU15" s="105"/>
      <c r="AV15" s="61" t="e">
        <f>SUM(AM15:AO15)-AS15+AT15</f>
        <v>#VALUE!</v>
      </c>
      <c r="AW15" s="61" t="e">
        <f t="shared" si="11"/>
        <v>#VALUE!</v>
      </c>
      <c r="AX15" s="61" t="e">
        <f t="shared" si="5"/>
        <v>#VALUE!</v>
      </c>
      <c r="AY15" s="61" t="e">
        <f t="shared" si="12"/>
        <v>#VALUE!</v>
      </c>
      <c r="AZ15" s="61" t="e">
        <f t="shared" si="13"/>
        <v>#VALUE!</v>
      </c>
      <c r="BA15" s="61" t="e">
        <f t="shared" si="14"/>
        <v>#VALUE!</v>
      </c>
      <c r="BB15" s="61">
        <f t="shared" si="15"/>
        <v>0</v>
      </c>
      <c r="BC15" s="105"/>
      <c r="BD15" s="62" t="e">
        <f t="shared" si="16"/>
        <v>#VALUE!</v>
      </c>
      <c r="BE15" s="105"/>
      <c r="BF15" s="117" t="s">
        <v>55</v>
      </c>
    </row>
    <row r="16" spans="1:58">
      <c r="A16" s="59">
        <v>10</v>
      </c>
      <c r="B16" s="128"/>
      <c r="C16" s="130"/>
      <c r="D16" s="131"/>
      <c r="E16" s="130"/>
      <c r="F16" s="132"/>
      <c r="G16" s="133"/>
      <c r="H16" s="131"/>
      <c r="I16" s="131"/>
      <c r="J16" s="131"/>
      <c r="K16" s="131"/>
      <c r="L16" s="131"/>
      <c r="M16" s="131"/>
      <c r="N16" s="131"/>
      <c r="O16" s="131"/>
      <c r="P16" s="131"/>
      <c r="Q16" s="131"/>
      <c r="R16" s="131"/>
      <c r="S16" s="131"/>
      <c r="T16" s="131"/>
      <c r="U16" s="131"/>
      <c r="V16" s="131"/>
      <c r="W16" s="131"/>
      <c r="X16" s="131"/>
      <c r="Y16" s="131"/>
      <c r="Z16" s="131"/>
      <c r="AA16" s="131"/>
      <c r="AB16" s="131"/>
      <c r="AC16" s="131"/>
      <c r="AD16" s="131"/>
      <c r="AE16" s="131"/>
      <c r="AF16" s="131"/>
      <c r="AG16" s="131"/>
      <c r="AH16" s="131"/>
      <c r="AI16" s="131"/>
      <c r="AJ16" s="131"/>
      <c r="AK16" s="131"/>
      <c r="AL16" s="134"/>
      <c r="AM16" s="60">
        <f t="shared" si="17"/>
        <v>0</v>
      </c>
      <c r="AN16" s="61">
        <f t="shared" si="18"/>
        <v>0</v>
      </c>
      <c r="AO16" s="61">
        <f t="shared" si="19"/>
        <v>0</v>
      </c>
      <c r="AP16" s="61"/>
      <c r="AQ16" s="61"/>
      <c r="AR16" s="61"/>
      <c r="AS16" s="61" t="e">
        <f t="shared" si="20"/>
        <v>#VALUE!</v>
      </c>
      <c r="AT16" s="105"/>
      <c r="AU16" s="105"/>
      <c r="AV16" s="61" t="e">
        <f t="shared" ref="AV16:AV17" si="23">SUM(AM16:AO16)-AS16+AT16</f>
        <v>#VALUE!</v>
      </c>
      <c r="AW16" s="61" t="e">
        <f t="shared" si="11"/>
        <v>#VALUE!</v>
      </c>
      <c r="AX16" s="61" t="e">
        <f t="shared" si="5"/>
        <v>#VALUE!</v>
      </c>
      <c r="AY16" s="61" t="e">
        <f t="shared" si="12"/>
        <v>#VALUE!</v>
      </c>
      <c r="AZ16" s="61" t="e">
        <f t="shared" si="13"/>
        <v>#VALUE!</v>
      </c>
      <c r="BA16" s="61" t="e">
        <f t="shared" si="14"/>
        <v>#VALUE!</v>
      </c>
      <c r="BB16" s="61">
        <f t="shared" si="15"/>
        <v>0</v>
      </c>
      <c r="BC16" s="105"/>
      <c r="BD16" s="62" t="e">
        <f t="shared" si="16"/>
        <v>#VALUE!</v>
      </c>
      <c r="BE16" s="105"/>
      <c r="BF16" s="117" t="s">
        <v>55</v>
      </c>
    </row>
    <row r="17" spans="1:58">
      <c r="A17" s="59">
        <v>11</v>
      </c>
      <c r="B17" s="128"/>
      <c r="C17" s="130"/>
      <c r="D17" s="131"/>
      <c r="E17" s="130"/>
      <c r="F17" s="132"/>
      <c r="G17" s="133"/>
      <c r="H17" s="131"/>
      <c r="I17" s="131"/>
      <c r="J17" s="131"/>
      <c r="K17" s="131"/>
      <c r="L17" s="131"/>
      <c r="M17" s="131"/>
      <c r="N17" s="131"/>
      <c r="O17" s="131"/>
      <c r="P17" s="131"/>
      <c r="Q17" s="131"/>
      <c r="R17" s="131"/>
      <c r="S17" s="131"/>
      <c r="T17" s="131"/>
      <c r="U17" s="131"/>
      <c r="V17" s="131"/>
      <c r="W17" s="131"/>
      <c r="X17" s="131"/>
      <c r="Y17" s="131"/>
      <c r="Z17" s="131"/>
      <c r="AA17" s="131"/>
      <c r="AB17" s="131"/>
      <c r="AC17" s="131"/>
      <c r="AD17" s="131"/>
      <c r="AE17" s="131"/>
      <c r="AF17" s="131"/>
      <c r="AG17" s="131"/>
      <c r="AH17" s="131"/>
      <c r="AI17" s="131"/>
      <c r="AJ17" s="131"/>
      <c r="AK17" s="131"/>
      <c r="AL17" s="134"/>
      <c r="AM17" s="60">
        <f t="shared" si="17"/>
        <v>0</v>
      </c>
      <c r="AN17" s="61">
        <f t="shared" si="18"/>
        <v>0</v>
      </c>
      <c r="AO17" s="61">
        <f t="shared" si="19"/>
        <v>0</v>
      </c>
      <c r="AP17" s="61"/>
      <c r="AQ17" s="61"/>
      <c r="AR17" s="61"/>
      <c r="AS17" s="61" t="e">
        <f t="shared" si="20"/>
        <v>#VALUE!</v>
      </c>
      <c r="AT17" s="105"/>
      <c r="AU17" s="105"/>
      <c r="AV17" s="61" t="e">
        <f t="shared" si="23"/>
        <v>#VALUE!</v>
      </c>
      <c r="AW17" s="61" t="e">
        <f t="shared" si="11"/>
        <v>#VALUE!</v>
      </c>
      <c r="AX17" s="61" t="e">
        <f t="shared" si="5"/>
        <v>#VALUE!</v>
      </c>
      <c r="AY17" s="61" t="e">
        <f t="shared" si="12"/>
        <v>#VALUE!</v>
      </c>
      <c r="AZ17" s="61" t="e">
        <f t="shared" si="13"/>
        <v>#VALUE!</v>
      </c>
      <c r="BA17" s="61" t="e">
        <f t="shared" si="14"/>
        <v>#VALUE!</v>
      </c>
      <c r="BB17" s="61">
        <f t="shared" si="15"/>
        <v>0</v>
      </c>
      <c r="BC17" s="105"/>
      <c r="BD17" s="62" t="e">
        <f t="shared" si="16"/>
        <v>#VALUE!</v>
      </c>
      <c r="BE17" s="105"/>
      <c r="BF17" s="117" t="s">
        <v>55</v>
      </c>
    </row>
    <row r="18" spans="1:58">
      <c r="A18" s="59">
        <v>12</v>
      </c>
      <c r="B18" s="128"/>
      <c r="C18" s="130"/>
      <c r="D18" s="131"/>
      <c r="E18" s="130"/>
      <c r="F18" s="132"/>
      <c r="G18" s="133"/>
      <c r="H18" s="131"/>
      <c r="I18" s="131"/>
      <c r="J18" s="131"/>
      <c r="K18" s="131"/>
      <c r="L18" s="131"/>
      <c r="M18" s="131"/>
      <c r="N18" s="131"/>
      <c r="O18" s="131"/>
      <c r="P18" s="131"/>
      <c r="Q18" s="131"/>
      <c r="R18" s="131"/>
      <c r="S18" s="131"/>
      <c r="T18" s="131"/>
      <c r="U18" s="131"/>
      <c r="V18" s="131"/>
      <c r="W18" s="131"/>
      <c r="X18" s="131"/>
      <c r="Y18" s="131"/>
      <c r="Z18" s="131"/>
      <c r="AA18" s="131"/>
      <c r="AB18" s="131"/>
      <c r="AC18" s="131"/>
      <c r="AD18" s="131"/>
      <c r="AE18" s="131"/>
      <c r="AF18" s="131"/>
      <c r="AG18" s="131"/>
      <c r="AH18" s="131"/>
      <c r="AI18" s="131"/>
      <c r="AJ18" s="131"/>
      <c r="AK18" s="131"/>
      <c r="AL18" s="134"/>
      <c r="AM18" s="60">
        <f t="shared" si="17"/>
        <v>0</v>
      </c>
      <c r="AN18" s="61">
        <f t="shared" si="18"/>
        <v>0</v>
      </c>
      <c r="AO18" s="61">
        <f t="shared" si="19"/>
        <v>0</v>
      </c>
      <c r="AP18" s="61"/>
      <c r="AQ18" s="61"/>
      <c r="AR18" s="61"/>
      <c r="AS18" s="61" t="e">
        <f t="shared" si="20"/>
        <v>#VALUE!</v>
      </c>
      <c r="AT18" s="105"/>
      <c r="AU18" s="105"/>
      <c r="AV18" s="61" t="e">
        <f t="shared" ref="AV18:AV19" si="24">SUM(AM18:AO18)-AS18+AT18</f>
        <v>#VALUE!</v>
      </c>
      <c r="AW18" s="61" t="e">
        <f t="shared" si="11"/>
        <v>#VALUE!</v>
      </c>
      <c r="AX18" s="61" t="e">
        <f t="shared" si="5"/>
        <v>#VALUE!</v>
      </c>
      <c r="AY18" s="61" t="e">
        <f t="shared" si="12"/>
        <v>#VALUE!</v>
      </c>
      <c r="AZ18" s="61" t="e">
        <f t="shared" si="13"/>
        <v>#VALUE!</v>
      </c>
      <c r="BA18" s="61" t="e">
        <f t="shared" si="14"/>
        <v>#VALUE!</v>
      </c>
      <c r="BB18" s="61">
        <f t="shared" si="15"/>
        <v>0</v>
      </c>
      <c r="BC18" s="105"/>
      <c r="BD18" s="62" t="e">
        <f t="shared" si="16"/>
        <v>#VALUE!</v>
      </c>
      <c r="BE18" s="105"/>
      <c r="BF18" s="117" t="s">
        <v>55</v>
      </c>
    </row>
    <row r="19" spans="1:58">
      <c r="A19" s="59">
        <v>13</v>
      </c>
      <c r="B19" s="128"/>
      <c r="C19" s="130"/>
      <c r="D19" s="131"/>
      <c r="E19" s="130"/>
      <c r="F19" s="132"/>
      <c r="G19" s="133"/>
      <c r="H19" s="131"/>
      <c r="I19" s="131"/>
      <c r="J19" s="131"/>
      <c r="K19" s="131"/>
      <c r="L19" s="131"/>
      <c r="M19" s="131"/>
      <c r="N19" s="131"/>
      <c r="O19" s="131"/>
      <c r="P19" s="131"/>
      <c r="Q19" s="131"/>
      <c r="R19" s="131"/>
      <c r="S19" s="131"/>
      <c r="T19" s="131"/>
      <c r="U19" s="131"/>
      <c r="V19" s="131"/>
      <c r="W19" s="131"/>
      <c r="X19" s="131"/>
      <c r="Y19" s="131"/>
      <c r="Z19" s="131"/>
      <c r="AA19" s="131"/>
      <c r="AB19" s="131"/>
      <c r="AC19" s="131"/>
      <c r="AD19" s="131"/>
      <c r="AE19" s="131"/>
      <c r="AF19" s="131"/>
      <c r="AG19" s="131"/>
      <c r="AH19" s="131"/>
      <c r="AI19" s="131"/>
      <c r="AJ19" s="131"/>
      <c r="AK19" s="131"/>
      <c r="AL19" s="134"/>
      <c r="AM19" s="60">
        <f t="shared" si="17"/>
        <v>0</v>
      </c>
      <c r="AN19" s="61">
        <f t="shared" si="18"/>
        <v>0</v>
      </c>
      <c r="AO19" s="61">
        <f t="shared" si="19"/>
        <v>0</v>
      </c>
      <c r="AP19" s="61"/>
      <c r="AQ19" s="61"/>
      <c r="AR19" s="61"/>
      <c r="AS19" s="61" t="e">
        <f t="shared" si="20"/>
        <v>#VALUE!</v>
      </c>
      <c r="AT19" s="105"/>
      <c r="AU19" s="105"/>
      <c r="AV19" s="61" t="e">
        <f t="shared" si="24"/>
        <v>#VALUE!</v>
      </c>
      <c r="AW19" s="61" t="e">
        <f t="shared" si="11"/>
        <v>#VALUE!</v>
      </c>
      <c r="AX19" s="61" t="e">
        <f t="shared" si="5"/>
        <v>#VALUE!</v>
      </c>
      <c r="AY19" s="61" t="e">
        <f t="shared" si="12"/>
        <v>#VALUE!</v>
      </c>
      <c r="AZ19" s="61" t="e">
        <f t="shared" si="13"/>
        <v>#VALUE!</v>
      </c>
      <c r="BA19" s="61" t="e">
        <f t="shared" si="14"/>
        <v>#VALUE!</v>
      </c>
      <c r="BB19" s="61">
        <f t="shared" si="15"/>
        <v>0</v>
      </c>
      <c r="BC19" s="105"/>
      <c r="BD19" s="62" t="e">
        <f t="shared" si="16"/>
        <v>#VALUE!</v>
      </c>
      <c r="BE19" s="105"/>
      <c r="BF19" s="117" t="s">
        <v>55</v>
      </c>
    </row>
    <row r="20" spans="1:58">
      <c r="A20" s="59">
        <v>14</v>
      </c>
      <c r="B20" s="128"/>
      <c r="C20" s="130"/>
      <c r="D20" s="131"/>
      <c r="E20" s="130"/>
      <c r="F20" s="132"/>
      <c r="G20" s="133"/>
      <c r="H20" s="131"/>
      <c r="I20" s="131"/>
      <c r="J20" s="131"/>
      <c r="K20" s="131"/>
      <c r="L20" s="131"/>
      <c r="M20" s="131"/>
      <c r="N20" s="131"/>
      <c r="O20" s="131"/>
      <c r="P20" s="131"/>
      <c r="Q20" s="131"/>
      <c r="R20" s="131"/>
      <c r="S20" s="131"/>
      <c r="T20" s="131"/>
      <c r="U20" s="131"/>
      <c r="V20" s="131"/>
      <c r="W20" s="131"/>
      <c r="X20" s="131"/>
      <c r="Y20" s="131"/>
      <c r="Z20" s="131"/>
      <c r="AA20" s="131"/>
      <c r="AB20" s="131"/>
      <c r="AC20" s="131"/>
      <c r="AD20" s="131"/>
      <c r="AE20" s="131"/>
      <c r="AF20" s="131"/>
      <c r="AG20" s="131"/>
      <c r="AH20" s="131"/>
      <c r="AI20" s="131"/>
      <c r="AJ20" s="131"/>
      <c r="AK20" s="131"/>
      <c r="AL20" s="134"/>
      <c r="AM20" s="60">
        <f t="shared" si="17"/>
        <v>0</v>
      </c>
      <c r="AN20" s="61">
        <f t="shared" si="18"/>
        <v>0</v>
      </c>
      <c r="AO20" s="61">
        <f t="shared" si="19"/>
        <v>0</v>
      </c>
      <c r="AP20" s="61"/>
      <c r="AQ20" s="61"/>
      <c r="AR20" s="61"/>
      <c r="AS20" s="61" t="e">
        <f t="shared" si="20"/>
        <v>#VALUE!</v>
      </c>
      <c r="AT20" s="105"/>
      <c r="AU20" s="105"/>
      <c r="AV20" s="61" t="e">
        <f t="shared" ref="AV20:AV21" si="25">SUM(AM20:AO20)-AS20+AT20</f>
        <v>#VALUE!</v>
      </c>
      <c r="AW20" s="61" t="e">
        <f t="shared" si="11"/>
        <v>#VALUE!</v>
      </c>
      <c r="AX20" s="61" t="e">
        <f t="shared" si="5"/>
        <v>#VALUE!</v>
      </c>
      <c r="AY20" s="61" t="e">
        <f t="shared" si="12"/>
        <v>#VALUE!</v>
      </c>
      <c r="AZ20" s="61" t="e">
        <f t="shared" si="13"/>
        <v>#VALUE!</v>
      </c>
      <c r="BA20" s="61" t="e">
        <f t="shared" si="14"/>
        <v>#VALUE!</v>
      </c>
      <c r="BB20" s="61">
        <f t="shared" si="15"/>
        <v>0</v>
      </c>
      <c r="BC20" s="105"/>
      <c r="BD20" s="62" t="e">
        <f t="shared" si="16"/>
        <v>#VALUE!</v>
      </c>
      <c r="BE20" s="105"/>
      <c r="BF20" s="117" t="s">
        <v>55</v>
      </c>
    </row>
    <row r="21" spans="1:58">
      <c r="A21" s="59">
        <v>15</v>
      </c>
      <c r="B21" s="128"/>
      <c r="C21" s="130"/>
      <c r="D21" s="131"/>
      <c r="E21" s="130"/>
      <c r="F21" s="132"/>
      <c r="G21" s="133"/>
      <c r="H21" s="131"/>
      <c r="I21" s="131"/>
      <c r="J21" s="131"/>
      <c r="K21" s="131"/>
      <c r="L21" s="131"/>
      <c r="M21" s="131"/>
      <c r="N21" s="131"/>
      <c r="O21" s="131"/>
      <c r="P21" s="131"/>
      <c r="Q21" s="131"/>
      <c r="R21" s="131"/>
      <c r="S21" s="131"/>
      <c r="T21" s="131"/>
      <c r="U21" s="131"/>
      <c r="V21" s="131"/>
      <c r="W21" s="131"/>
      <c r="X21" s="131"/>
      <c r="Y21" s="131"/>
      <c r="Z21" s="131"/>
      <c r="AA21" s="131"/>
      <c r="AB21" s="131"/>
      <c r="AC21" s="131"/>
      <c r="AD21" s="131"/>
      <c r="AE21" s="131"/>
      <c r="AF21" s="131"/>
      <c r="AG21" s="131"/>
      <c r="AH21" s="131"/>
      <c r="AI21" s="131"/>
      <c r="AJ21" s="131"/>
      <c r="AK21" s="131"/>
      <c r="AL21" s="134"/>
      <c r="AM21" s="60">
        <f t="shared" si="17"/>
        <v>0</v>
      </c>
      <c r="AN21" s="61">
        <f t="shared" si="18"/>
        <v>0</v>
      </c>
      <c r="AO21" s="61">
        <f t="shared" si="19"/>
        <v>0</v>
      </c>
      <c r="AP21" s="61"/>
      <c r="AQ21" s="61"/>
      <c r="AR21" s="61"/>
      <c r="AS21" s="61" t="e">
        <f t="shared" si="20"/>
        <v>#VALUE!</v>
      </c>
      <c r="AT21" s="105"/>
      <c r="AU21" s="105"/>
      <c r="AV21" s="61" t="e">
        <f t="shared" si="25"/>
        <v>#VALUE!</v>
      </c>
      <c r="AW21" s="61" t="e">
        <f t="shared" si="11"/>
        <v>#VALUE!</v>
      </c>
      <c r="AX21" s="61" t="e">
        <f t="shared" si="5"/>
        <v>#VALUE!</v>
      </c>
      <c r="AY21" s="61" t="e">
        <f t="shared" si="12"/>
        <v>#VALUE!</v>
      </c>
      <c r="AZ21" s="61" t="e">
        <f t="shared" si="13"/>
        <v>#VALUE!</v>
      </c>
      <c r="BA21" s="61" t="e">
        <f t="shared" si="14"/>
        <v>#VALUE!</v>
      </c>
      <c r="BB21" s="61">
        <f t="shared" si="15"/>
        <v>0</v>
      </c>
      <c r="BC21" s="105"/>
      <c r="BD21" s="62" t="e">
        <f t="shared" si="16"/>
        <v>#VALUE!</v>
      </c>
      <c r="BE21" s="105"/>
      <c r="BF21" s="117" t="s">
        <v>55</v>
      </c>
    </row>
    <row r="22" spans="1:58">
      <c r="A22" s="59">
        <v>16</v>
      </c>
      <c r="B22" s="103"/>
      <c r="C22" s="104"/>
      <c r="D22" s="105"/>
      <c r="E22" s="104"/>
      <c r="F22" s="106"/>
      <c r="G22" s="108"/>
      <c r="H22" s="105"/>
      <c r="I22" s="105"/>
      <c r="J22" s="105"/>
      <c r="K22" s="105"/>
      <c r="L22" s="105"/>
      <c r="M22" s="105"/>
      <c r="N22" s="105"/>
      <c r="O22" s="105"/>
      <c r="P22" s="105"/>
      <c r="Q22" s="105"/>
      <c r="R22" s="105"/>
      <c r="S22" s="105"/>
      <c r="T22" s="105"/>
      <c r="U22" s="105"/>
      <c r="V22" s="105"/>
      <c r="W22" s="105"/>
      <c r="X22" s="105"/>
      <c r="Y22" s="105"/>
      <c r="Z22" s="105"/>
      <c r="AA22" s="105"/>
      <c r="AB22" s="105"/>
      <c r="AC22" s="105"/>
      <c r="AD22" s="105"/>
      <c r="AE22" s="105"/>
      <c r="AF22" s="105"/>
      <c r="AG22" s="105"/>
      <c r="AH22" s="105"/>
      <c r="AI22" s="105"/>
      <c r="AJ22" s="105"/>
      <c r="AK22" s="105"/>
      <c r="AL22" s="97"/>
      <c r="AM22" s="60">
        <f t="shared" si="17"/>
        <v>0</v>
      </c>
      <c r="AN22" s="61">
        <f t="shared" ref="AN22:AN36" si="26">COUNTIFS(G22:AK22,"夜12",$G$4:$AK$4,"&lt;="&amp;$D$2)*12</f>
        <v>0</v>
      </c>
      <c r="AO22" s="61">
        <f t="shared" ref="AO22:AO36" si="27">COUNTIFS(G22:AK22,"日8",$G$4:$AK$4,"&lt;="&amp;$D$2)*8</f>
        <v>0</v>
      </c>
      <c r="AP22" s="61"/>
      <c r="AQ22" s="61"/>
      <c r="AR22" s="61"/>
      <c r="AS22" s="61" t="e">
        <f t="shared" ref="AS22:AS36" si="28">COUNTIFS(G22:AK22,"早12",$G$4:$AK$4,"&lt;="&amp;$D$2,$G$5:$AK$5,"PH")*12+COUNTIFS(G22:AK22,"日8",$G$4:$AK$4,"&lt;="&amp;$D$2,$G$5:$AK$5,"PH")*8+COUNTIFS(G22:AK22,"夜12",$G$4:$AK$4,"&lt;="&amp;$D$2,$G$5:$AK$5,"PH")*4+
IF(AND(G22="夜12",$H$5="PH",$G$4&lt;=$D$2),8,0)+IF(AND(H22="夜12",$I$5="PH",$H$4&lt;=$D$2),8,0)+IF(AND(I22="夜12",$J$5="PH",$I$4&lt;=$D$2),8,0)+IF(AND(J22="夜12",$K$5="PH",$J$4&lt;=$D$2),8,0)+IF(AND(K22="夜12",$L$5="PH",$K$4&lt;=$D$2),8,0)+IF(AND(L22="夜12",$M$5="PH",$L$4&lt;=$D$2),8,0)+IF(AND(M22="夜12",$N$5="PH",$M$4&lt;=$D$2),8,0)+IF(AND(N22="夜12",$O$5="PH",$N$4&lt;=$D$2),8,0)+IF(AND(O22="夜12",$P$5="PH",$O$4&lt;=$D$2),8,0)+IF(AND(P22="夜12",$Q$5="PH",$P$4&lt;=$D$2),8,0)+IF(AND(Q22="夜12",$R$5="PH",$Q$4&lt;=$D$2),8,0)+IF(AND(R22="夜12",$S$5="PH",$R$4&lt;=$D$2),8,0)+IF(AND(S22="夜12",$T$5="PH",$S$4&lt;=$D$2),8,0)+IF(AND(T22="夜12",$U$5="PH",$T$4&lt;=$D$2),8,0)+IF(AND(U22="夜12",$V$5="PH",$U$4&lt;=$D$2),8,0)+IF(AND(V22="夜12",$W$5="PH",$V$4&lt;=$D$2),8,0)+IF(AND(W22="夜12",$X$5="PH",$W$4&lt;=$D$2),8,0)+IF(AND(X22="夜12",$Y$5="PH",$X$4&lt;=$D$2),8,0)+IF(AND(Y22="夜12",$Z$5="PH",$Y$4&lt;=$D$2),8,0)+IF(AND(Z22="夜12",$AA$5="PH",$Z$4&lt;=$D$2),8,0)+IF(AND(AA22="夜12",$AB$5="PH",$AA$4&lt;=$D$2),8,0)+IF(AND(AB22="夜12",$AC$5="PH",$AB$4&lt;=$D$2),8,0)+IF(AND(AC22="夜12",$AD$5="PH",$AC$4&lt;=$D$2),8,0)+IF(AND(AD22="夜12",$AE$5="PH",$AD$4&lt;=$D$2),8,0)+IF(AND(AE22="夜12",$AF$5="PH",$AE$4&lt;=$D$2),8,0)+IF(AND(AF22="夜12",$AG$5="PH",$AF$4&lt;=$D$2),8,0)+IF(AND(AG22="夜12",$AH$5="PH",$AG$4&lt;=$D$2),8,0)+IF(AND(AH22="夜12",$AI$5="PH",$AH$4&lt;=$D$2),8,0)+IF(AND(AI22="夜12",$AJ$5="PH",$AI$4&lt;=$D$2),8,0)+IF(AND(AJ22="夜12",$AK$5="PH",$AJ$4&lt;=$D$2),8,0)+IF(AND(AK22="夜12",$AL$5="PH",$AK$4&lt;=$D$2),8,0)</f>
        <v>#VALUE!</v>
      </c>
      <c r="AT22" s="105"/>
      <c r="AU22" s="105"/>
      <c r="AV22" s="61" t="e">
        <f t="shared" ref="AV22:AV36" si="29">SUM(AM22:AO22)-AS22+AT22</f>
        <v>#VALUE!</v>
      </c>
      <c r="AW22" s="61" t="e">
        <f t="shared" ref="AW22:AW36" si="30">AV22/8</f>
        <v>#VALUE!</v>
      </c>
      <c r="AX22" s="61" t="e">
        <f t="shared" si="5"/>
        <v>#VALUE!</v>
      </c>
      <c r="AY22" s="61" t="e">
        <f t="shared" ref="AY22:AY36" si="31">ROUND(IF(AW22&gt;=AX22,AX22,AW22)*D22,2)</f>
        <v>#VALUE!</v>
      </c>
      <c r="AZ22" s="61" t="e">
        <f t="shared" ref="AZ22:AZ36" si="32">ROUND(IF((AW22-AX22)*1.5*D22&lt;0,0,(AW22-AX22)*1.5*D22),2)</f>
        <v>#VALUE!</v>
      </c>
      <c r="BA22" s="61" t="e">
        <f t="shared" ref="BA22:BA36" si="33">ROUND(D22/8*(AS22+AU22)*3,2)</f>
        <v>#VALUE!</v>
      </c>
      <c r="BB22" s="61">
        <f t="shared" ref="BB22:BB36" si="34">COUNTIFS(G22:AK22,"早12",$G$4:$AK$4,"&lt;="&amp;$D$2)*50+COUNTIFS(G22:AK22,"夜12",$G$4:$AK$4,"&lt;="&amp;$D$2)*50</f>
        <v>0</v>
      </c>
      <c r="BC22" s="105"/>
      <c r="BD22" s="62" t="e">
        <f t="shared" ref="BD22:BD36" si="35">SUM(AY22:BC22)</f>
        <v>#VALUE!</v>
      </c>
      <c r="BE22" s="105"/>
      <c r="BF22" s="117" t="s">
        <v>55</v>
      </c>
    </row>
    <row r="23" spans="1:58">
      <c r="A23" s="59">
        <v>17</v>
      </c>
      <c r="B23" s="103"/>
      <c r="C23" s="104"/>
      <c r="D23" s="105"/>
      <c r="E23" s="104"/>
      <c r="F23" s="106"/>
      <c r="G23" s="107"/>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7"/>
      <c r="AM23" s="60">
        <f t="shared" si="17"/>
        <v>0</v>
      </c>
      <c r="AN23" s="61">
        <f t="shared" si="26"/>
        <v>0</v>
      </c>
      <c r="AO23" s="61">
        <f t="shared" si="27"/>
        <v>0</v>
      </c>
      <c r="AP23" s="61"/>
      <c r="AQ23" s="61"/>
      <c r="AR23" s="61"/>
      <c r="AS23" s="61" t="e">
        <f t="shared" si="28"/>
        <v>#VALUE!</v>
      </c>
      <c r="AT23" s="105"/>
      <c r="AU23" s="105"/>
      <c r="AV23" s="61" t="e">
        <f t="shared" si="29"/>
        <v>#VALUE!</v>
      </c>
      <c r="AW23" s="61" t="e">
        <f t="shared" si="30"/>
        <v>#VALUE!</v>
      </c>
      <c r="AX23" s="61" t="e">
        <f t="shared" si="5"/>
        <v>#VALUE!</v>
      </c>
      <c r="AY23" s="61" t="e">
        <f t="shared" si="31"/>
        <v>#VALUE!</v>
      </c>
      <c r="AZ23" s="61" t="e">
        <f t="shared" si="32"/>
        <v>#VALUE!</v>
      </c>
      <c r="BA23" s="61" t="e">
        <f t="shared" si="33"/>
        <v>#VALUE!</v>
      </c>
      <c r="BB23" s="61">
        <f t="shared" si="34"/>
        <v>0</v>
      </c>
      <c r="BC23" s="105"/>
      <c r="BD23" s="62" t="e">
        <f t="shared" si="35"/>
        <v>#VALUE!</v>
      </c>
      <c r="BE23" s="105"/>
      <c r="BF23" s="117" t="s">
        <v>55</v>
      </c>
    </row>
    <row r="24" spans="1:58">
      <c r="A24" s="59">
        <v>18</v>
      </c>
      <c r="B24" s="103"/>
      <c r="C24" s="104"/>
      <c r="D24" s="105"/>
      <c r="E24" s="104"/>
      <c r="F24" s="106"/>
      <c r="G24" s="107"/>
      <c r="H24" s="105"/>
      <c r="I24" s="105"/>
      <c r="J24" s="105"/>
      <c r="K24" s="105"/>
      <c r="L24" s="105"/>
      <c r="M24" s="105"/>
      <c r="N24" s="105"/>
      <c r="O24" s="105"/>
      <c r="P24" s="105"/>
      <c r="Q24" s="105"/>
      <c r="R24" s="105"/>
      <c r="S24" s="105"/>
      <c r="T24" s="105"/>
      <c r="U24" s="105"/>
      <c r="V24" s="105"/>
      <c r="W24" s="105"/>
      <c r="X24" s="105"/>
      <c r="Y24" s="105"/>
      <c r="Z24" s="105"/>
      <c r="AA24" s="105"/>
      <c r="AB24" s="105"/>
      <c r="AC24" s="105"/>
      <c r="AD24" s="105"/>
      <c r="AE24" s="105"/>
      <c r="AF24" s="105"/>
      <c r="AG24" s="105"/>
      <c r="AH24" s="105"/>
      <c r="AI24" s="105"/>
      <c r="AJ24" s="105"/>
      <c r="AK24" s="105"/>
      <c r="AL24" s="97"/>
      <c r="AM24" s="60">
        <f t="shared" si="17"/>
        <v>0</v>
      </c>
      <c r="AN24" s="61">
        <f t="shared" si="26"/>
        <v>0</v>
      </c>
      <c r="AO24" s="61">
        <f t="shared" si="27"/>
        <v>0</v>
      </c>
      <c r="AP24" s="61"/>
      <c r="AQ24" s="61"/>
      <c r="AR24" s="61"/>
      <c r="AS24" s="61" t="e">
        <f t="shared" si="28"/>
        <v>#VALUE!</v>
      </c>
      <c r="AT24" s="105"/>
      <c r="AU24" s="105"/>
      <c r="AV24" s="61" t="e">
        <f t="shared" si="29"/>
        <v>#VALUE!</v>
      </c>
      <c r="AW24" s="61" t="e">
        <f t="shared" si="30"/>
        <v>#VALUE!</v>
      </c>
      <c r="AX24" s="61" t="e">
        <f t="shared" si="5"/>
        <v>#VALUE!</v>
      </c>
      <c r="AY24" s="61" t="e">
        <f t="shared" si="31"/>
        <v>#VALUE!</v>
      </c>
      <c r="AZ24" s="61" t="e">
        <f t="shared" si="32"/>
        <v>#VALUE!</v>
      </c>
      <c r="BA24" s="61" t="e">
        <f t="shared" si="33"/>
        <v>#VALUE!</v>
      </c>
      <c r="BB24" s="61">
        <f t="shared" si="34"/>
        <v>0</v>
      </c>
      <c r="BC24" s="105"/>
      <c r="BD24" s="62" t="e">
        <f t="shared" si="35"/>
        <v>#VALUE!</v>
      </c>
      <c r="BE24" s="105"/>
      <c r="BF24" s="117" t="s">
        <v>55</v>
      </c>
    </row>
    <row r="25" spans="1:58">
      <c r="A25" s="59">
        <v>19</v>
      </c>
      <c r="B25" s="103"/>
      <c r="C25" s="104"/>
      <c r="D25" s="105"/>
      <c r="E25" s="104"/>
      <c r="F25" s="106"/>
      <c r="G25" s="107"/>
      <c r="H25" s="105"/>
      <c r="I25" s="105"/>
      <c r="J25" s="105"/>
      <c r="K25" s="105"/>
      <c r="L25" s="105"/>
      <c r="M25" s="105"/>
      <c r="N25" s="105"/>
      <c r="O25" s="105"/>
      <c r="P25" s="105"/>
      <c r="Q25" s="105"/>
      <c r="R25" s="105"/>
      <c r="S25" s="105"/>
      <c r="T25" s="105"/>
      <c r="U25" s="105"/>
      <c r="V25" s="105"/>
      <c r="W25" s="105"/>
      <c r="X25" s="105"/>
      <c r="Y25" s="105"/>
      <c r="Z25" s="105"/>
      <c r="AA25" s="105"/>
      <c r="AB25" s="105"/>
      <c r="AC25" s="105"/>
      <c r="AD25" s="105"/>
      <c r="AE25" s="105"/>
      <c r="AF25" s="105"/>
      <c r="AG25" s="105"/>
      <c r="AH25" s="105"/>
      <c r="AI25" s="105"/>
      <c r="AJ25" s="105"/>
      <c r="AK25" s="105"/>
      <c r="AL25" s="97"/>
      <c r="AM25" s="60">
        <f t="shared" si="17"/>
        <v>0</v>
      </c>
      <c r="AN25" s="61">
        <f t="shared" si="26"/>
        <v>0</v>
      </c>
      <c r="AO25" s="61">
        <f t="shared" si="27"/>
        <v>0</v>
      </c>
      <c r="AP25" s="61"/>
      <c r="AQ25" s="61"/>
      <c r="AR25" s="61"/>
      <c r="AS25" s="61" t="e">
        <f t="shared" si="28"/>
        <v>#VALUE!</v>
      </c>
      <c r="AT25" s="105"/>
      <c r="AU25" s="105"/>
      <c r="AV25" s="61" t="e">
        <f t="shared" si="29"/>
        <v>#VALUE!</v>
      </c>
      <c r="AW25" s="61" t="e">
        <f t="shared" si="30"/>
        <v>#VALUE!</v>
      </c>
      <c r="AX25" s="61" t="e">
        <f t="shared" si="5"/>
        <v>#VALUE!</v>
      </c>
      <c r="AY25" s="61" t="e">
        <f t="shared" si="31"/>
        <v>#VALUE!</v>
      </c>
      <c r="AZ25" s="61" t="e">
        <f t="shared" si="32"/>
        <v>#VALUE!</v>
      </c>
      <c r="BA25" s="61" t="e">
        <f t="shared" si="33"/>
        <v>#VALUE!</v>
      </c>
      <c r="BB25" s="61">
        <f t="shared" si="34"/>
        <v>0</v>
      </c>
      <c r="BC25" s="105"/>
      <c r="BD25" s="62" t="e">
        <f t="shared" si="35"/>
        <v>#VALUE!</v>
      </c>
      <c r="BE25" s="105"/>
      <c r="BF25" s="117" t="s">
        <v>55</v>
      </c>
    </row>
    <row r="26" spans="1:58">
      <c r="A26" s="59">
        <v>20</v>
      </c>
      <c r="B26" s="103"/>
      <c r="C26" s="104"/>
      <c r="D26" s="105"/>
      <c r="E26" s="104"/>
      <c r="F26" s="106"/>
      <c r="G26" s="107"/>
      <c r="H26" s="105"/>
      <c r="I26" s="105"/>
      <c r="J26" s="105"/>
      <c r="K26" s="105"/>
      <c r="L26" s="105"/>
      <c r="M26" s="105"/>
      <c r="N26" s="105"/>
      <c r="O26" s="105"/>
      <c r="P26" s="105"/>
      <c r="Q26" s="105"/>
      <c r="R26" s="105"/>
      <c r="S26" s="105"/>
      <c r="T26" s="105"/>
      <c r="U26" s="105"/>
      <c r="V26" s="105"/>
      <c r="W26" s="105"/>
      <c r="X26" s="105"/>
      <c r="Y26" s="105"/>
      <c r="Z26" s="105"/>
      <c r="AA26" s="105"/>
      <c r="AB26" s="105"/>
      <c r="AC26" s="105"/>
      <c r="AD26" s="105"/>
      <c r="AE26" s="105"/>
      <c r="AF26" s="105"/>
      <c r="AG26" s="105"/>
      <c r="AH26" s="105"/>
      <c r="AI26" s="105"/>
      <c r="AJ26" s="105"/>
      <c r="AK26" s="105"/>
      <c r="AL26" s="97"/>
      <c r="AM26" s="60">
        <f t="shared" si="17"/>
        <v>0</v>
      </c>
      <c r="AN26" s="61">
        <f t="shared" si="26"/>
        <v>0</v>
      </c>
      <c r="AO26" s="61">
        <f t="shared" si="27"/>
        <v>0</v>
      </c>
      <c r="AP26" s="61"/>
      <c r="AQ26" s="61"/>
      <c r="AR26" s="61"/>
      <c r="AS26" s="61" t="e">
        <f t="shared" si="28"/>
        <v>#VALUE!</v>
      </c>
      <c r="AT26" s="105"/>
      <c r="AU26" s="105"/>
      <c r="AV26" s="61" t="e">
        <f t="shared" si="29"/>
        <v>#VALUE!</v>
      </c>
      <c r="AW26" s="61" t="e">
        <f t="shared" si="30"/>
        <v>#VALUE!</v>
      </c>
      <c r="AX26" s="61" t="e">
        <f t="shared" si="5"/>
        <v>#VALUE!</v>
      </c>
      <c r="AY26" s="61" t="e">
        <f t="shared" si="31"/>
        <v>#VALUE!</v>
      </c>
      <c r="AZ26" s="61" t="e">
        <f t="shared" si="32"/>
        <v>#VALUE!</v>
      </c>
      <c r="BA26" s="61" t="e">
        <f t="shared" si="33"/>
        <v>#VALUE!</v>
      </c>
      <c r="BB26" s="61">
        <f t="shared" si="34"/>
        <v>0</v>
      </c>
      <c r="BC26" s="105"/>
      <c r="BD26" s="62" t="e">
        <f t="shared" si="35"/>
        <v>#VALUE!</v>
      </c>
      <c r="BE26" s="105"/>
      <c r="BF26" s="117" t="s">
        <v>55</v>
      </c>
    </row>
    <row r="27" spans="1:58">
      <c r="A27" s="59">
        <v>21</v>
      </c>
      <c r="B27" s="103"/>
      <c r="C27" s="104"/>
      <c r="D27" s="105"/>
      <c r="E27" s="104"/>
      <c r="F27" s="106"/>
      <c r="G27" s="107"/>
      <c r="H27" s="105"/>
      <c r="I27" s="105"/>
      <c r="J27" s="105"/>
      <c r="K27" s="105"/>
      <c r="L27" s="105"/>
      <c r="M27" s="105"/>
      <c r="N27" s="105"/>
      <c r="O27" s="105"/>
      <c r="P27" s="105"/>
      <c r="Q27" s="105"/>
      <c r="R27" s="105"/>
      <c r="S27" s="105"/>
      <c r="T27" s="105"/>
      <c r="U27" s="105"/>
      <c r="V27" s="105"/>
      <c r="W27" s="105"/>
      <c r="X27" s="105"/>
      <c r="Y27" s="105"/>
      <c r="Z27" s="105"/>
      <c r="AA27" s="105"/>
      <c r="AB27" s="105"/>
      <c r="AC27" s="105"/>
      <c r="AD27" s="105"/>
      <c r="AE27" s="105"/>
      <c r="AF27" s="105"/>
      <c r="AG27" s="105"/>
      <c r="AH27" s="105"/>
      <c r="AI27" s="105"/>
      <c r="AJ27" s="105"/>
      <c r="AK27" s="105"/>
      <c r="AL27" s="97"/>
      <c r="AM27" s="60">
        <f t="shared" si="17"/>
        <v>0</v>
      </c>
      <c r="AN27" s="61">
        <f t="shared" si="26"/>
        <v>0</v>
      </c>
      <c r="AO27" s="61">
        <f t="shared" si="27"/>
        <v>0</v>
      </c>
      <c r="AP27" s="61"/>
      <c r="AQ27" s="61"/>
      <c r="AR27" s="61"/>
      <c r="AS27" s="61" t="e">
        <f t="shared" si="28"/>
        <v>#VALUE!</v>
      </c>
      <c r="AT27" s="105"/>
      <c r="AU27" s="105"/>
      <c r="AV27" s="61" t="e">
        <f t="shared" si="29"/>
        <v>#VALUE!</v>
      </c>
      <c r="AW27" s="61" t="e">
        <f t="shared" si="30"/>
        <v>#VALUE!</v>
      </c>
      <c r="AX27" s="61" t="e">
        <f t="shared" si="5"/>
        <v>#VALUE!</v>
      </c>
      <c r="AY27" s="61" t="e">
        <f t="shared" si="31"/>
        <v>#VALUE!</v>
      </c>
      <c r="AZ27" s="61" t="e">
        <f t="shared" si="32"/>
        <v>#VALUE!</v>
      </c>
      <c r="BA27" s="61" t="e">
        <f t="shared" si="33"/>
        <v>#VALUE!</v>
      </c>
      <c r="BB27" s="61">
        <f t="shared" si="34"/>
        <v>0</v>
      </c>
      <c r="BC27" s="105"/>
      <c r="BD27" s="62" t="e">
        <f t="shared" si="35"/>
        <v>#VALUE!</v>
      </c>
      <c r="BE27" s="105"/>
      <c r="BF27" s="117" t="s">
        <v>55</v>
      </c>
    </row>
    <row r="28" spans="1:58">
      <c r="A28" s="59">
        <v>22</v>
      </c>
      <c r="B28" s="103"/>
      <c r="C28" s="104"/>
      <c r="D28" s="105"/>
      <c r="E28" s="104"/>
      <c r="F28" s="106"/>
      <c r="G28" s="107"/>
      <c r="H28" s="105"/>
      <c r="I28" s="105"/>
      <c r="J28" s="105"/>
      <c r="K28" s="105"/>
      <c r="L28" s="105"/>
      <c r="M28" s="105"/>
      <c r="N28" s="105"/>
      <c r="O28" s="105"/>
      <c r="P28" s="105"/>
      <c r="Q28" s="105"/>
      <c r="R28" s="105"/>
      <c r="S28" s="105"/>
      <c r="T28" s="105"/>
      <c r="U28" s="105"/>
      <c r="V28" s="105"/>
      <c r="W28" s="105"/>
      <c r="X28" s="105"/>
      <c r="Y28" s="105"/>
      <c r="Z28" s="105"/>
      <c r="AA28" s="105"/>
      <c r="AB28" s="105"/>
      <c r="AC28" s="105"/>
      <c r="AD28" s="105"/>
      <c r="AE28" s="105"/>
      <c r="AF28" s="105"/>
      <c r="AG28" s="105"/>
      <c r="AH28" s="105"/>
      <c r="AI28" s="105"/>
      <c r="AJ28" s="105"/>
      <c r="AK28" s="105"/>
      <c r="AL28" s="97"/>
      <c r="AM28" s="60">
        <f t="shared" si="17"/>
        <v>0</v>
      </c>
      <c r="AN28" s="61">
        <f t="shared" si="26"/>
        <v>0</v>
      </c>
      <c r="AO28" s="61">
        <f t="shared" si="27"/>
        <v>0</v>
      </c>
      <c r="AP28" s="61"/>
      <c r="AQ28" s="61"/>
      <c r="AR28" s="61"/>
      <c r="AS28" s="61" t="e">
        <f t="shared" si="28"/>
        <v>#VALUE!</v>
      </c>
      <c r="AT28" s="105"/>
      <c r="AU28" s="105"/>
      <c r="AV28" s="61" t="e">
        <f t="shared" si="29"/>
        <v>#VALUE!</v>
      </c>
      <c r="AW28" s="61" t="e">
        <f t="shared" si="30"/>
        <v>#VALUE!</v>
      </c>
      <c r="AX28" s="61" t="e">
        <f t="shared" si="5"/>
        <v>#VALUE!</v>
      </c>
      <c r="AY28" s="61" t="e">
        <f t="shared" si="31"/>
        <v>#VALUE!</v>
      </c>
      <c r="AZ28" s="61" t="e">
        <f t="shared" si="32"/>
        <v>#VALUE!</v>
      </c>
      <c r="BA28" s="61" t="e">
        <f t="shared" si="33"/>
        <v>#VALUE!</v>
      </c>
      <c r="BB28" s="61">
        <f t="shared" si="34"/>
        <v>0</v>
      </c>
      <c r="BC28" s="105"/>
      <c r="BD28" s="62" t="e">
        <f t="shared" si="35"/>
        <v>#VALUE!</v>
      </c>
      <c r="BE28" s="105"/>
      <c r="BF28" s="117" t="s">
        <v>55</v>
      </c>
    </row>
    <row r="29" spans="1:58">
      <c r="A29" s="59">
        <v>23</v>
      </c>
      <c r="B29" s="103"/>
      <c r="C29" s="104"/>
      <c r="D29" s="105"/>
      <c r="E29" s="104"/>
      <c r="F29" s="106"/>
      <c r="G29" s="107"/>
      <c r="H29" s="105"/>
      <c r="I29" s="105"/>
      <c r="J29" s="105"/>
      <c r="K29" s="105"/>
      <c r="L29" s="105"/>
      <c r="M29" s="105"/>
      <c r="N29" s="105"/>
      <c r="O29" s="105"/>
      <c r="P29" s="105"/>
      <c r="Q29" s="105"/>
      <c r="R29" s="105"/>
      <c r="S29" s="105"/>
      <c r="T29" s="105"/>
      <c r="U29" s="105"/>
      <c r="V29" s="105"/>
      <c r="W29" s="105"/>
      <c r="X29" s="105"/>
      <c r="Y29" s="105"/>
      <c r="Z29" s="105"/>
      <c r="AA29" s="105"/>
      <c r="AB29" s="105"/>
      <c r="AC29" s="105"/>
      <c r="AD29" s="105"/>
      <c r="AE29" s="105"/>
      <c r="AF29" s="105"/>
      <c r="AG29" s="105"/>
      <c r="AH29" s="105"/>
      <c r="AI29" s="105"/>
      <c r="AJ29" s="105"/>
      <c r="AK29" s="105"/>
      <c r="AL29" s="97"/>
      <c r="AM29" s="60">
        <f t="shared" si="17"/>
        <v>0</v>
      </c>
      <c r="AN29" s="61">
        <f t="shared" si="26"/>
        <v>0</v>
      </c>
      <c r="AO29" s="61">
        <f t="shared" si="27"/>
        <v>0</v>
      </c>
      <c r="AP29" s="61"/>
      <c r="AQ29" s="61"/>
      <c r="AR29" s="61"/>
      <c r="AS29" s="61" t="e">
        <f t="shared" si="28"/>
        <v>#VALUE!</v>
      </c>
      <c r="AT29" s="105"/>
      <c r="AU29" s="105"/>
      <c r="AV29" s="61" t="e">
        <f t="shared" si="29"/>
        <v>#VALUE!</v>
      </c>
      <c r="AW29" s="61" t="e">
        <f t="shared" si="30"/>
        <v>#VALUE!</v>
      </c>
      <c r="AX29" s="61" t="e">
        <f t="shared" si="5"/>
        <v>#VALUE!</v>
      </c>
      <c r="AY29" s="61" t="e">
        <f t="shared" si="31"/>
        <v>#VALUE!</v>
      </c>
      <c r="AZ29" s="61" t="e">
        <f t="shared" si="32"/>
        <v>#VALUE!</v>
      </c>
      <c r="BA29" s="61" t="e">
        <f t="shared" si="33"/>
        <v>#VALUE!</v>
      </c>
      <c r="BB29" s="61">
        <f t="shared" si="34"/>
        <v>0</v>
      </c>
      <c r="BC29" s="105"/>
      <c r="BD29" s="62" t="e">
        <f t="shared" si="35"/>
        <v>#VALUE!</v>
      </c>
      <c r="BE29" s="105"/>
      <c r="BF29" s="117" t="s">
        <v>55</v>
      </c>
    </row>
    <row r="30" spans="1:58">
      <c r="A30" s="59">
        <v>24</v>
      </c>
      <c r="B30" s="103"/>
      <c r="C30" s="104"/>
      <c r="D30" s="105"/>
      <c r="E30" s="104"/>
      <c r="F30" s="106"/>
      <c r="G30" s="107"/>
      <c r="H30" s="105"/>
      <c r="I30" s="105"/>
      <c r="J30" s="105"/>
      <c r="K30" s="105"/>
      <c r="L30" s="105"/>
      <c r="M30" s="105"/>
      <c r="N30" s="105"/>
      <c r="O30" s="105"/>
      <c r="P30" s="105"/>
      <c r="Q30" s="105"/>
      <c r="R30" s="105"/>
      <c r="S30" s="105"/>
      <c r="T30" s="105"/>
      <c r="U30" s="105"/>
      <c r="V30" s="105"/>
      <c r="W30" s="105"/>
      <c r="X30" s="105"/>
      <c r="Y30" s="105"/>
      <c r="Z30" s="105"/>
      <c r="AA30" s="105"/>
      <c r="AB30" s="105"/>
      <c r="AC30" s="105"/>
      <c r="AD30" s="105"/>
      <c r="AE30" s="105"/>
      <c r="AF30" s="105"/>
      <c r="AG30" s="105"/>
      <c r="AH30" s="105"/>
      <c r="AI30" s="105"/>
      <c r="AJ30" s="105"/>
      <c r="AK30" s="105"/>
      <c r="AL30" s="97"/>
      <c r="AM30" s="60">
        <f t="shared" si="17"/>
        <v>0</v>
      </c>
      <c r="AN30" s="61">
        <f t="shared" si="26"/>
        <v>0</v>
      </c>
      <c r="AO30" s="61">
        <f t="shared" si="27"/>
        <v>0</v>
      </c>
      <c r="AP30" s="61"/>
      <c r="AQ30" s="61"/>
      <c r="AR30" s="61"/>
      <c r="AS30" s="61" t="e">
        <f t="shared" si="28"/>
        <v>#VALUE!</v>
      </c>
      <c r="AT30" s="105"/>
      <c r="AU30" s="105"/>
      <c r="AV30" s="61" t="e">
        <f t="shared" si="29"/>
        <v>#VALUE!</v>
      </c>
      <c r="AW30" s="61" t="e">
        <f t="shared" si="30"/>
        <v>#VALUE!</v>
      </c>
      <c r="AX30" s="61" t="e">
        <f t="shared" si="5"/>
        <v>#VALUE!</v>
      </c>
      <c r="AY30" s="61" t="e">
        <f t="shared" si="31"/>
        <v>#VALUE!</v>
      </c>
      <c r="AZ30" s="61" t="e">
        <f t="shared" si="32"/>
        <v>#VALUE!</v>
      </c>
      <c r="BA30" s="61" t="e">
        <f t="shared" si="33"/>
        <v>#VALUE!</v>
      </c>
      <c r="BB30" s="61">
        <f t="shared" si="34"/>
        <v>0</v>
      </c>
      <c r="BC30" s="105"/>
      <c r="BD30" s="62" t="e">
        <f t="shared" si="35"/>
        <v>#VALUE!</v>
      </c>
      <c r="BE30" s="105"/>
      <c r="BF30" s="117" t="s">
        <v>55</v>
      </c>
    </row>
    <row r="31" spans="1:58">
      <c r="A31" s="59">
        <v>25</v>
      </c>
      <c r="B31" s="103"/>
      <c r="C31" s="104"/>
      <c r="D31" s="105"/>
      <c r="E31" s="104"/>
      <c r="F31" s="106"/>
      <c r="G31" s="107"/>
      <c r="H31" s="105"/>
      <c r="I31" s="105"/>
      <c r="J31" s="105"/>
      <c r="K31" s="105"/>
      <c r="L31" s="105"/>
      <c r="M31" s="105"/>
      <c r="N31" s="105"/>
      <c r="O31" s="105"/>
      <c r="P31" s="105"/>
      <c r="Q31" s="105"/>
      <c r="R31" s="105"/>
      <c r="S31" s="105"/>
      <c r="T31" s="105"/>
      <c r="U31" s="105"/>
      <c r="V31" s="105"/>
      <c r="W31" s="105"/>
      <c r="X31" s="105"/>
      <c r="Y31" s="105"/>
      <c r="Z31" s="105"/>
      <c r="AA31" s="105"/>
      <c r="AB31" s="105"/>
      <c r="AC31" s="105"/>
      <c r="AD31" s="105"/>
      <c r="AE31" s="105"/>
      <c r="AF31" s="105"/>
      <c r="AG31" s="105"/>
      <c r="AH31" s="105"/>
      <c r="AI31" s="105"/>
      <c r="AJ31" s="105"/>
      <c r="AK31" s="105"/>
      <c r="AL31" s="97"/>
      <c r="AM31" s="60">
        <f t="shared" si="17"/>
        <v>0</v>
      </c>
      <c r="AN31" s="61">
        <f t="shared" si="26"/>
        <v>0</v>
      </c>
      <c r="AO31" s="61">
        <f t="shared" si="27"/>
        <v>0</v>
      </c>
      <c r="AP31" s="61"/>
      <c r="AQ31" s="61"/>
      <c r="AR31" s="61"/>
      <c r="AS31" s="61" t="e">
        <f t="shared" si="28"/>
        <v>#VALUE!</v>
      </c>
      <c r="AT31" s="105"/>
      <c r="AU31" s="105"/>
      <c r="AV31" s="61" t="e">
        <f t="shared" si="29"/>
        <v>#VALUE!</v>
      </c>
      <c r="AW31" s="61" t="e">
        <f t="shared" si="30"/>
        <v>#VALUE!</v>
      </c>
      <c r="AX31" s="61" t="e">
        <f t="shared" si="5"/>
        <v>#VALUE!</v>
      </c>
      <c r="AY31" s="61" t="e">
        <f t="shared" si="31"/>
        <v>#VALUE!</v>
      </c>
      <c r="AZ31" s="61" t="e">
        <f t="shared" si="32"/>
        <v>#VALUE!</v>
      </c>
      <c r="BA31" s="61" t="e">
        <f t="shared" si="33"/>
        <v>#VALUE!</v>
      </c>
      <c r="BB31" s="61">
        <f t="shared" si="34"/>
        <v>0</v>
      </c>
      <c r="BC31" s="105"/>
      <c r="BD31" s="62" t="e">
        <f t="shared" si="35"/>
        <v>#VALUE!</v>
      </c>
      <c r="BE31" s="105"/>
      <c r="BF31" s="117" t="s">
        <v>55</v>
      </c>
    </row>
    <row r="32" spans="1:58">
      <c r="A32" s="59">
        <v>26</v>
      </c>
      <c r="B32" s="103"/>
      <c r="C32" s="104"/>
      <c r="D32" s="105"/>
      <c r="E32" s="104"/>
      <c r="F32" s="106"/>
      <c r="G32" s="107"/>
      <c r="H32" s="105"/>
      <c r="I32" s="105"/>
      <c r="J32" s="105"/>
      <c r="K32" s="105"/>
      <c r="L32" s="105"/>
      <c r="M32" s="105"/>
      <c r="N32" s="105"/>
      <c r="O32" s="105"/>
      <c r="P32" s="105"/>
      <c r="Q32" s="105"/>
      <c r="R32" s="105"/>
      <c r="S32" s="105"/>
      <c r="T32" s="105"/>
      <c r="U32" s="105"/>
      <c r="V32" s="105"/>
      <c r="W32" s="105"/>
      <c r="X32" s="105"/>
      <c r="Y32" s="105"/>
      <c r="Z32" s="105"/>
      <c r="AA32" s="105"/>
      <c r="AB32" s="105"/>
      <c r="AC32" s="105"/>
      <c r="AD32" s="105"/>
      <c r="AE32" s="105"/>
      <c r="AF32" s="105"/>
      <c r="AG32" s="105"/>
      <c r="AH32" s="105"/>
      <c r="AI32" s="105"/>
      <c r="AJ32" s="105"/>
      <c r="AK32" s="105"/>
      <c r="AL32" s="97"/>
      <c r="AM32" s="60">
        <f t="shared" si="17"/>
        <v>0</v>
      </c>
      <c r="AN32" s="61">
        <f t="shared" si="26"/>
        <v>0</v>
      </c>
      <c r="AO32" s="61">
        <f t="shared" si="27"/>
        <v>0</v>
      </c>
      <c r="AP32" s="61"/>
      <c r="AQ32" s="61"/>
      <c r="AR32" s="61"/>
      <c r="AS32" s="61" t="e">
        <f t="shared" si="28"/>
        <v>#VALUE!</v>
      </c>
      <c r="AT32" s="105"/>
      <c r="AU32" s="105"/>
      <c r="AV32" s="61" t="e">
        <f t="shared" si="29"/>
        <v>#VALUE!</v>
      </c>
      <c r="AW32" s="61" t="e">
        <f t="shared" si="30"/>
        <v>#VALUE!</v>
      </c>
      <c r="AX32" s="61" t="e">
        <f t="shared" si="5"/>
        <v>#VALUE!</v>
      </c>
      <c r="AY32" s="61" t="e">
        <f t="shared" si="31"/>
        <v>#VALUE!</v>
      </c>
      <c r="AZ32" s="61" t="e">
        <f t="shared" si="32"/>
        <v>#VALUE!</v>
      </c>
      <c r="BA32" s="61" t="e">
        <f t="shared" si="33"/>
        <v>#VALUE!</v>
      </c>
      <c r="BB32" s="61">
        <f t="shared" si="34"/>
        <v>0</v>
      </c>
      <c r="BC32" s="105"/>
      <c r="BD32" s="62" t="e">
        <f t="shared" si="35"/>
        <v>#VALUE!</v>
      </c>
      <c r="BE32" s="105"/>
      <c r="BF32" s="117" t="s">
        <v>55</v>
      </c>
    </row>
    <row r="33" spans="1:58">
      <c r="A33" s="59">
        <v>27</v>
      </c>
      <c r="B33" s="103"/>
      <c r="C33" s="104"/>
      <c r="D33" s="105"/>
      <c r="E33" s="104"/>
      <c r="F33" s="106"/>
      <c r="G33" s="107"/>
      <c r="H33" s="105"/>
      <c r="I33" s="105"/>
      <c r="J33" s="105"/>
      <c r="K33" s="105"/>
      <c r="L33" s="105"/>
      <c r="M33" s="105"/>
      <c r="N33" s="105"/>
      <c r="O33" s="105"/>
      <c r="P33" s="105"/>
      <c r="Q33" s="105"/>
      <c r="R33" s="105"/>
      <c r="S33" s="105"/>
      <c r="T33" s="105"/>
      <c r="U33" s="105"/>
      <c r="V33" s="105"/>
      <c r="W33" s="105"/>
      <c r="X33" s="105"/>
      <c r="Y33" s="105"/>
      <c r="Z33" s="105"/>
      <c r="AA33" s="105"/>
      <c r="AB33" s="105"/>
      <c r="AC33" s="105"/>
      <c r="AD33" s="105"/>
      <c r="AE33" s="105"/>
      <c r="AF33" s="105"/>
      <c r="AG33" s="105"/>
      <c r="AH33" s="105"/>
      <c r="AI33" s="105"/>
      <c r="AJ33" s="105"/>
      <c r="AK33" s="105"/>
      <c r="AL33" s="97"/>
      <c r="AM33" s="60">
        <f t="shared" si="17"/>
        <v>0</v>
      </c>
      <c r="AN33" s="61">
        <f t="shared" si="26"/>
        <v>0</v>
      </c>
      <c r="AO33" s="61">
        <f t="shared" si="27"/>
        <v>0</v>
      </c>
      <c r="AP33" s="61"/>
      <c r="AQ33" s="61"/>
      <c r="AR33" s="61"/>
      <c r="AS33" s="61" t="e">
        <f t="shared" si="28"/>
        <v>#VALUE!</v>
      </c>
      <c r="AT33" s="105"/>
      <c r="AU33" s="105"/>
      <c r="AV33" s="61" t="e">
        <f t="shared" si="29"/>
        <v>#VALUE!</v>
      </c>
      <c r="AW33" s="61" t="e">
        <f t="shared" si="30"/>
        <v>#VALUE!</v>
      </c>
      <c r="AX33" s="61" t="e">
        <f t="shared" si="5"/>
        <v>#VALUE!</v>
      </c>
      <c r="AY33" s="61" t="e">
        <f t="shared" si="31"/>
        <v>#VALUE!</v>
      </c>
      <c r="AZ33" s="61" t="e">
        <f t="shared" si="32"/>
        <v>#VALUE!</v>
      </c>
      <c r="BA33" s="61" t="e">
        <f t="shared" si="33"/>
        <v>#VALUE!</v>
      </c>
      <c r="BB33" s="61">
        <f t="shared" si="34"/>
        <v>0</v>
      </c>
      <c r="BC33" s="105"/>
      <c r="BD33" s="62" t="e">
        <f t="shared" si="35"/>
        <v>#VALUE!</v>
      </c>
      <c r="BE33" s="105"/>
      <c r="BF33" s="117" t="s">
        <v>55</v>
      </c>
    </row>
    <row r="34" spans="1:58">
      <c r="A34" s="59">
        <v>28</v>
      </c>
      <c r="B34" s="103"/>
      <c r="C34" s="104"/>
      <c r="D34" s="105"/>
      <c r="E34" s="104"/>
      <c r="F34" s="106"/>
      <c r="G34" s="107"/>
      <c r="H34" s="105"/>
      <c r="I34" s="105"/>
      <c r="J34" s="105"/>
      <c r="K34" s="105"/>
      <c r="L34" s="105"/>
      <c r="M34" s="105"/>
      <c r="N34" s="105"/>
      <c r="O34" s="105"/>
      <c r="P34" s="105"/>
      <c r="Q34" s="105"/>
      <c r="R34" s="105"/>
      <c r="S34" s="105"/>
      <c r="T34" s="105"/>
      <c r="U34" s="105"/>
      <c r="V34" s="105"/>
      <c r="W34" s="105"/>
      <c r="X34" s="105"/>
      <c r="Y34" s="105"/>
      <c r="Z34" s="105"/>
      <c r="AA34" s="105"/>
      <c r="AB34" s="105"/>
      <c r="AC34" s="105"/>
      <c r="AD34" s="105"/>
      <c r="AE34" s="105"/>
      <c r="AF34" s="105"/>
      <c r="AG34" s="105"/>
      <c r="AH34" s="105"/>
      <c r="AI34" s="105"/>
      <c r="AJ34" s="105"/>
      <c r="AK34" s="105"/>
      <c r="AL34" s="97"/>
      <c r="AM34" s="60">
        <f t="shared" si="17"/>
        <v>0</v>
      </c>
      <c r="AN34" s="61">
        <f t="shared" si="26"/>
        <v>0</v>
      </c>
      <c r="AO34" s="61">
        <f t="shared" si="27"/>
        <v>0</v>
      </c>
      <c r="AP34" s="61"/>
      <c r="AQ34" s="61"/>
      <c r="AR34" s="61"/>
      <c r="AS34" s="61" t="e">
        <f t="shared" si="28"/>
        <v>#VALUE!</v>
      </c>
      <c r="AT34" s="105"/>
      <c r="AU34" s="105"/>
      <c r="AV34" s="61" t="e">
        <f t="shared" si="29"/>
        <v>#VALUE!</v>
      </c>
      <c r="AW34" s="61" t="e">
        <f t="shared" si="30"/>
        <v>#VALUE!</v>
      </c>
      <c r="AX34" s="61" t="e">
        <f t="shared" si="5"/>
        <v>#VALUE!</v>
      </c>
      <c r="AY34" s="61" t="e">
        <f t="shared" si="31"/>
        <v>#VALUE!</v>
      </c>
      <c r="AZ34" s="61" t="e">
        <f t="shared" si="32"/>
        <v>#VALUE!</v>
      </c>
      <c r="BA34" s="61" t="e">
        <f t="shared" si="33"/>
        <v>#VALUE!</v>
      </c>
      <c r="BB34" s="61">
        <f t="shared" si="34"/>
        <v>0</v>
      </c>
      <c r="BC34" s="105"/>
      <c r="BD34" s="62" t="e">
        <f t="shared" si="35"/>
        <v>#VALUE!</v>
      </c>
      <c r="BE34" s="105"/>
      <c r="BF34" s="117" t="s">
        <v>55</v>
      </c>
    </row>
    <row r="35" spans="1:58">
      <c r="A35" s="59">
        <v>29</v>
      </c>
      <c r="B35" s="103"/>
      <c r="C35" s="104"/>
      <c r="D35" s="105"/>
      <c r="E35" s="104"/>
      <c r="F35" s="106"/>
      <c r="G35" s="107"/>
      <c r="H35" s="105"/>
      <c r="I35" s="105"/>
      <c r="J35" s="105"/>
      <c r="K35" s="105"/>
      <c r="L35" s="105"/>
      <c r="M35" s="105"/>
      <c r="N35" s="105"/>
      <c r="O35" s="105"/>
      <c r="P35" s="105"/>
      <c r="Q35" s="105"/>
      <c r="R35" s="105"/>
      <c r="S35" s="105"/>
      <c r="T35" s="105"/>
      <c r="U35" s="105"/>
      <c r="V35" s="105"/>
      <c r="W35" s="105"/>
      <c r="X35" s="105"/>
      <c r="Y35" s="105"/>
      <c r="Z35" s="105"/>
      <c r="AA35" s="105"/>
      <c r="AB35" s="105"/>
      <c r="AC35" s="105"/>
      <c r="AD35" s="105"/>
      <c r="AE35" s="105"/>
      <c r="AF35" s="105"/>
      <c r="AG35" s="105"/>
      <c r="AH35" s="105"/>
      <c r="AI35" s="105"/>
      <c r="AJ35" s="105"/>
      <c r="AK35" s="105"/>
      <c r="AL35" s="97"/>
      <c r="AM35" s="60">
        <f t="shared" si="17"/>
        <v>0</v>
      </c>
      <c r="AN35" s="61">
        <f t="shared" si="26"/>
        <v>0</v>
      </c>
      <c r="AO35" s="61">
        <f t="shared" si="27"/>
        <v>0</v>
      </c>
      <c r="AP35" s="61"/>
      <c r="AQ35" s="61"/>
      <c r="AR35" s="61"/>
      <c r="AS35" s="61" t="e">
        <f t="shared" si="28"/>
        <v>#VALUE!</v>
      </c>
      <c r="AT35" s="105"/>
      <c r="AU35" s="105"/>
      <c r="AV35" s="61" t="e">
        <f t="shared" si="29"/>
        <v>#VALUE!</v>
      </c>
      <c r="AW35" s="61" t="e">
        <f t="shared" si="30"/>
        <v>#VALUE!</v>
      </c>
      <c r="AX35" s="61" t="e">
        <f t="shared" si="5"/>
        <v>#VALUE!</v>
      </c>
      <c r="AY35" s="61" t="e">
        <f t="shared" si="31"/>
        <v>#VALUE!</v>
      </c>
      <c r="AZ35" s="61" t="e">
        <f t="shared" si="32"/>
        <v>#VALUE!</v>
      </c>
      <c r="BA35" s="61" t="e">
        <f t="shared" si="33"/>
        <v>#VALUE!</v>
      </c>
      <c r="BB35" s="61">
        <f t="shared" si="34"/>
        <v>0</v>
      </c>
      <c r="BC35" s="105"/>
      <c r="BD35" s="62" t="e">
        <f t="shared" si="35"/>
        <v>#VALUE!</v>
      </c>
      <c r="BE35" s="105"/>
      <c r="BF35" s="117" t="s">
        <v>55</v>
      </c>
    </row>
    <row r="36" spans="1:58">
      <c r="A36" s="59">
        <v>30</v>
      </c>
      <c r="B36" s="103"/>
      <c r="C36" s="104"/>
      <c r="D36" s="105"/>
      <c r="E36" s="104"/>
      <c r="F36" s="106"/>
      <c r="G36" s="107"/>
      <c r="H36" s="105"/>
      <c r="I36" s="105"/>
      <c r="J36" s="105"/>
      <c r="K36" s="105"/>
      <c r="L36" s="105"/>
      <c r="M36" s="105"/>
      <c r="N36" s="105"/>
      <c r="O36" s="105"/>
      <c r="P36" s="105"/>
      <c r="Q36" s="105"/>
      <c r="R36" s="105"/>
      <c r="S36" s="105"/>
      <c r="T36" s="105"/>
      <c r="U36" s="105"/>
      <c r="V36" s="105"/>
      <c r="W36" s="105"/>
      <c r="X36" s="105"/>
      <c r="Y36" s="105"/>
      <c r="Z36" s="105"/>
      <c r="AA36" s="105"/>
      <c r="AB36" s="105"/>
      <c r="AC36" s="105"/>
      <c r="AD36" s="105"/>
      <c r="AE36" s="105"/>
      <c r="AF36" s="105"/>
      <c r="AG36" s="105"/>
      <c r="AH36" s="105"/>
      <c r="AI36" s="105"/>
      <c r="AJ36" s="105"/>
      <c r="AK36" s="105"/>
      <c r="AL36" s="97"/>
      <c r="AM36" s="60">
        <f t="shared" si="17"/>
        <v>0</v>
      </c>
      <c r="AN36" s="61">
        <f t="shared" si="26"/>
        <v>0</v>
      </c>
      <c r="AO36" s="61">
        <f t="shared" si="27"/>
        <v>0</v>
      </c>
      <c r="AP36" s="61"/>
      <c r="AQ36" s="61"/>
      <c r="AR36" s="61"/>
      <c r="AS36" s="61" t="e">
        <f t="shared" si="28"/>
        <v>#VALUE!</v>
      </c>
      <c r="AT36" s="105"/>
      <c r="AU36" s="105"/>
      <c r="AV36" s="61" t="e">
        <f t="shared" si="29"/>
        <v>#VALUE!</v>
      </c>
      <c r="AW36" s="61" t="e">
        <f t="shared" si="30"/>
        <v>#VALUE!</v>
      </c>
      <c r="AX36" s="61" t="e">
        <f t="shared" si="5"/>
        <v>#VALUE!</v>
      </c>
      <c r="AY36" s="61" t="e">
        <f t="shared" si="31"/>
        <v>#VALUE!</v>
      </c>
      <c r="AZ36" s="61" t="e">
        <f t="shared" si="32"/>
        <v>#VALUE!</v>
      </c>
      <c r="BA36" s="61" t="e">
        <f t="shared" si="33"/>
        <v>#VALUE!</v>
      </c>
      <c r="BB36" s="61">
        <f t="shared" si="34"/>
        <v>0</v>
      </c>
      <c r="BC36" s="105"/>
      <c r="BD36" s="62" t="e">
        <f t="shared" si="35"/>
        <v>#VALUE!</v>
      </c>
      <c r="BE36" s="105"/>
      <c r="BF36" s="117" t="s">
        <v>55</v>
      </c>
    </row>
    <row r="48" spans="1:58">
      <c r="O48" s="135"/>
      <c r="P48" s="135"/>
      <c r="Q48" s="135"/>
      <c r="R48" s="135"/>
      <c r="S48" s="135"/>
      <c r="T48" s="135"/>
    </row>
    <row r="52" spans="15:17">
      <c r="O52" s="136"/>
    </row>
    <row r="53" spans="15:17">
      <c r="Q53" s="136"/>
    </row>
  </sheetData>
  <sheetProtection algorithmName="SHA-512" hashValue="R72FX3BdtkFaHZIe5Jkyx5WInt7Lc9ot6Dth5qUkup5q/s61+ylJ4qbYVvY+QxsAkUPOU1Q/Y+cdiFxaOYuYdg==" saltValue="Gxe6VDmO4T9ytikhTtzR6g==" spinCount="100000" sheet="1" insertRows="0" autoFilter="0"/>
  <autoFilter ref="A5:BF5" xr:uid="{913A315E-46EC-40F1-9754-D50C580BB1A4}"/>
  <mergeCells count="2">
    <mergeCell ref="A2:B2"/>
    <mergeCell ref="G2:AL2"/>
  </mergeCells>
  <conditionalFormatting sqref="G5:AL5">
    <cfRule type="containsText" dxfId="38" priority="7" operator="containsText" text="RH">
      <formula>NOT(ISERROR(SEARCH("RH",G5)))</formula>
    </cfRule>
  </conditionalFormatting>
  <conditionalFormatting sqref="G6:AL36">
    <cfRule type="expression" dxfId="37" priority="6">
      <formula>$G$4:$AL$4=""</formula>
    </cfRule>
  </conditionalFormatting>
  <conditionalFormatting sqref="G4:AL4">
    <cfRule type="expression" dxfId="36" priority="5">
      <formula>$G$4:$AL$4&gt;"$D$2"</formula>
    </cfRule>
  </conditionalFormatting>
  <conditionalFormatting sqref="AI4">
    <cfRule type="expression" dxfId="35" priority="4">
      <formula>$AI$4&gt;$D$2</formula>
    </cfRule>
  </conditionalFormatting>
  <conditionalFormatting sqref="AJ4">
    <cfRule type="expression" dxfId="34" priority="3">
      <formula>$AJ$4&gt;$D$2</formula>
    </cfRule>
  </conditionalFormatting>
  <conditionalFormatting sqref="AK4">
    <cfRule type="expression" dxfId="33" priority="2">
      <formula>$AK$4&gt;$D$2</formula>
    </cfRule>
  </conditionalFormatting>
  <conditionalFormatting sqref="AL4">
    <cfRule type="expression" dxfId="32" priority="1">
      <formula>$AL$4&gt;$D$2</formula>
    </cfRule>
  </conditionalFormatting>
  <dataValidations count="2">
    <dataValidation type="list" allowBlank="1" showInputMessage="1" showErrorMessage="1" sqref="G6:AL36" xr:uid="{38A1270F-0AAE-4EB2-9E02-EFFA18D7BA58}">
      <formula1>Prod_BACC</formula1>
    </dataValidation>
    <dataValidation type="list" allowBlank="1" showInputMessage="1" showErrorMessage="1" sqref="C2" xr:uid="{41A2F04B-5F7D-49FB-96AD-9E8B7408DD98}">
      <formula1>CN_Date</formula1>
    </dataValidation>
  </dataValidations>
  <pageMargins left="0.7" right="0.7" top="0.75" bottom="0.75" header="0.3" footer="0.3"/>
  <pageSetup paperSize="9" orientation="portrait" horizontalDpi="1200" verticalDpi="1200" r:id="rId1"/>
  <headerFooter>
    <oddFooter>&amp;C&amp;1#&amp;"Arial"&amp;10&amp;K000000Internal</oddFoot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AFD7DE-99C1-4357-A44C-FFE6701B8544}">
  <sheetPr codeName="Sheet9"/>
  <dimension ref="A1:BF53"/>
  <sheetViews>
    <sheetView zoomScale="80" zoomScaleNormal="80" workbookViewId="0">
      <pane xSplit="6" ySplit="5" topLeftCell="G6" activePane="bottomRight" state="frozen"/>
      <selection pane="topRight" activeCell="F28" sqref="F28:AC28"/>
      <selection pane="bottomLeft" activeCell="F28" sqref="F28:AC28"/>
      <selection pane="bottomRight" activeCell="B6" sqref="B6"/>
    </sheetView>
  </sheetViews>
  <sheetFormatPr defaultColWidth="9.109375" defaultRowHeight="14.4"/>
  <cols>
    <col min="1" max="1" width="7.109375" style="8" customWidth="1"/>
    <col min="2" max="2" width="15.44140625" style="8" customWidth="1"/>
    <col min="3" max="4" width="15.44140625" style="8" bestFit="1" customWidth="1"/>
    <col min="5" max="6" width="11.5546875" style="8" customWidth="1"/>
    <col min="7" max="38" width="8.5546875" style="8" customWidth="1"/>
    <col min="39" max="41" width="9.109375" style="8"/>
    <col min="42" max="44" width="9.109375" style="8" hidden="1" customWidth="1"/>
    <col min="45" max="45" width="9.109375" style="8"/>
    <col min="46" max="47" width="26.88671875" style="8" customWidth="1"/>
    <col min="48" max="55" width="13.5546875" style="8" customWidth="1"/>
    <col min="56" max="56" width="18.5546875" style="8" bestFit="1" customWidth="1"/>
    <col min="57" max="57" width="9.109375" style="8"/>
    <col min="58" max="58" width="17" style="8" bestFit="1" customWidth="1"/>
    <col min="59" max="16384" width="9.109375" style="8"/>
  </cols>
  <sheetData>
    <row r="1" spans="1:58" ht="18.600000000000001" thickBot="1">
      <c r="A1" s="83" t="s">
        <v>63</v>
      </c>
    </row>
    <row r="2" spans="1:58" ht="47.25" customHeight="1" thickBot="1">
      <c r="A2" s="198" t="s">
        <v>64</v>
      </c>
      <c r="B2" s="199"/>
      <c r="C2" s="102" t="s">
        <v>92</v>
      </c>
      <c r="D2" s="33" t="e">
        <f>EOMONTH(C2,0)</f>
        <v>#VALUE!</v>
      </c>
      <c r="G2" s="210" t="s">
        <v>121</v>
      </c>
      <c r="H2" s="211"/>
      <c r="I2" s="211"/>
      <c r="J2" s="211"/>
      <c r="K2" s="211"/>
      <c r="L2" s="211"/>
      <c r="M2" s="211"/>
      <c r="N2" s="211"/>
      <c r="O2" s="211"/>
      <c r="P2" s="211"/>
      <c r="Q2" s="211"/>
      <c r="R2" s="211"/>
      <c r="S2" s="211"/>
      <c r="T2" s="211"/>
      <c r="U2" s="211"/>
      <c r="V2" s="211"/>
      <c r="W2" s="211"/>
      <c r="X2" s="211"/>
      <c r="Y2" s="211"/>
      <c r="Z2" s="211"/>
      <c r="AA2" s="211"/>
      <c r="AB2" s="211"/>
      <c r="AC2" s="211"/>
      <c r="AD2" s="211"/>
      <c r="AE2" s="211"/>
      <c r="AF2" s="211"/>
      <c r="AG2" s="211"/>
      <c r="AH2" s="211"/>
      <c r="AI2" s="211"/>
      <c r="AJ2" s="211"/>
      <c r="AK2" s="211"/>
      <c r="AL2" s="212"/>
    </row>
    <row r="3" spans="1:58" ht="15" thickBot="1">
      <c r="F3" s="10"/>
      <c r="G3" s="34" t="s">
        <v>88</v>
      </c>
      <c r="H3" s="10"/>
      <c r="I3" s="10"/>
      <c r="J3" s="10"/>
      <c r="K3" s="10"/>
      <c r="L3" s="10"/>
      <c r="M3" s="10"/>
      <c r="N3" s="10"/>
      <c r="O3" s="10"/>
      <c r="P3" s="10"/>
      <c r="Q3" s="10"/>
      <c r="R3" s="10"/>
      <c r="S3" s="10"/>
      <c r="T3" s="10"/>
      <c r="U3" s="10"/>
      <c r="V3" s="10"/>
      <c r="W3" s="10"/>
      <c r="X3" s="10"/>
      <c r="Y3" s="10"/>
      <c r="Z3" s="10"/>
      <c r="AA3" s="10"/>
      <c r="AB3" s="10"/>
      <c r="AC3" s="10"/>
      <c r="AD3" s="10"/>
      <c r="AE3" s="10"/>
      <c r="AF3" s="10"/>
      <c r="AG3" s="10"/>
      <c r="AH3" s="10"/>
    </row>
    <row r="4" spans="1:58" ht="85.5" customHeight="1">
      <c r="A4" s="35" t="s">
        <v>67</v>
      </c>
      <c r="B4" s="36" t="s">
        <v>68</v>
      </c>
      <c r="C4" s="13" t="s">
        <v>69</v>
      </c>
      <c r="D4" s="13" t="s">
        <v>94</v>
      </c>
      <c r="E4" s="13" t="s">
        <v>71</v>
      </c>
      <c r="F4" s="37" t="s">
        <v>72</v>
      </c>
      <c r="G4" s="38" t="e">
        <f>IF($C$2+0&gt;$D$2+1,"",$C$2+0)</f>
        <v>#VALUE!</v>
      </c>
      <c r="H4" s="39" t="e">
        <f>IF($C$2+1&gt;$D$2+1,"",$C$2+1)</f>
        <v>#VALUE!</v>
      </c>
      <c r="I4" s="39" t="e">
        <f>IF($C$2+2&gt;$D$2+1,"",$C$2+2)</f>
        <v>#VALUE!</v>
      </c>
      <c r="J4" s="39" t="e">
        <f>IF($C$2+3&gt;$D$2+1,"",$C$2+3)</f>
        <v>#VALUE!</v>
      </c>
      <c r="K4" s="39" t="e">
        <f>IF($C$2+4&gt;$D$2+1,"",$C$2+4)</f>
        <v>#VALUE!</v>
      </c>
      <c r="L4" s="39" t="e">
        <f>IF($C$2+5&gt;$D$2+1,"",$C$2+5)</f>
        <v>#VALUE!</v>
      </c>
      <c r="M4" s="39" t="e">
        <f>IF($C$2+6&gt;$D$2+1,"",$C$2+6)</f>
        <v>#VALUE!</v>
      </c>
      <c r="N4" s="39" t="e">
        <f>IF($C$2+7&gt;$D$2+1,"",$C$2+7)</f>
        <v>#VALUE!</v>
      </c>
      <c r="O4" s="39" t="e">
        <f>IF($C$2+8&gt;$D$2+1,"",$C$2+8)</f>
        <v>#VALUE!</v>
      </c>
      <c r="P4" s="39" t="e">
        <f>IF($C$2+9&gt;$D$2+1,"",$C$2+9)</f>
        <v>#VALUE!</v>
      </c>
      <c r="Q4" s="39" t="e">
        <f>IF($C$2+10&gt;$D$2+1,"",$C$2+10)</f>
        <v>#VALUE!</v>
      </c>
      <c r="R4" s="39" t="e">
        <f>IF($C$2+11&gt;$D$2+1,"",$C$2+11)</f>
        <v>#VALUE!</v>
      </c>
      <c r="S4" s="39" t="e">
        <f>IF($C$2+12&gt;$D$2+1,"",$C$2+12)</f>
        <v>#VALUE!</v>
      </c>
      <c r="T4" s="39" t="e">
        <f>IF($C$2+13&gt;$D$2+1,"",$C$2+13)</f>
        <v>#VALUE!</v>
      </c>
      <c r="U4" s="39" t="e">
        <f>IF($C$2+14&gt;$D$2+1,"",$C$2+14)</f>
        <v>#VALUE!</v>
      </c>
      <c r="V4" s="39" t="e">
        <f>IF($C$2+15&gt;$D$2+1,"",$C$2+15)</f>
        <v>#VALUE!</v>
      </c>
      <c r="W4" s="39" t="e">
        <f>IF($C$2+16&gt;$D$2+1,"",$C$2+16)</f>
        <v>#VALUE!</v>
      </c>
      <c r="X4" s="39" t="e">
        <f>IF($C$2+17&gt;$D$2+1,"",$C$2+17)</f>
        <v>#VALUE!</v>
      </c>
      <c r="Y4" s="39" t="e">
        <f>IF($C$2+18&gt;$D$2+1,"",$C$2+18)</f>
        <v>#VALUE!</v>
      </c>
      <c r="Z4" s="39" t="e">
        <f>IF($C$2+19&gt;$D$2+1,"",$C$2+19)</f>
        <v>#VALUE!</v>
      </c>
      <c r="AA4" s="39" t="e">
        <f>IF($C$2+20&gt;$D$2+1,"",$C$2+20)</f>
        <v>#VALUE!</v>
      </c>
      <c r="AB4" s="39" t="e">
        <f>IF($C$2+21&gt;$D$2+1,"",$C$2+21)</f>
        <v>#VALUE!</v>
      </c>
      <c r="AC4" s="39" t="e">
        <f>IF($C$2+22&gt;$D$2+1,"",$C$2+22)</f>
        <v>#VALUE!</v>
      </c>
      <c r="AD4" s="39" t="e">
        <f>IF($C$2+23&gt;$D$2+1,"",$C$2+23)</f>
        <v>#VALUE!</v>
      </c>
      <c r="AE4" s="39" t="e">
        <f>IF($C$2+24&gt;$D$2+1,"",$C$2+24)</f>
        <v>#VALUE!</v>
      </c>
      <c r="AF4" s="39" t="e">
        <f>IF($C$2+25&gt;$D$2+1,"",$C$2+25)</f>
        <v>#VALUE!</v>
      </c>
      <c r="AG4" s="39" t="e">
        <f>IF($C$2+26&gt;$D$2+1,"",$C$2+26)</f>
        <v>#VALUE!</v>
      </c>
      <c r="AH4" s="39" t="e">
        <f>IF($C$2+27&gt;$D$2+1,"",$C$2+27)</f>
        <v>#VALUE!</v>
      </c>
      <c r="AI4" s="39" t="e">
        <f>IF($C$2+28&gt;$D$2+1,"",$C$2+28)</f>
        <v>#VALUE!</v>
      </c>
      <c r="AJ4" s="39" t="e">
        <f>IF($C$2+29&gt;$D$2+1,"",$C$2+29)</f>
        <v>#VALUE!</v>
      </c>
      <c r="AK4" s="39" t="e">
        <f>IF($C$2+30&gt;$D$2+1,"",$C$2+30)</f>
        <v>#VALUE!</v>
      </c>
      <c r="AL4" s="40" t="e">
        <f>IF($C$2+31&gt;$D$2+1,"",$C$2+31)</f>
        <v>#VALUE!</v>
      </c>
      <c r="AM4" s="12" t="s">
        <v>115</v>
      </c>
      <c r="AN4" s="13" t="s">
        <v>96</v>
      </c>
      <c r="AO4" s="13" t="s">
        <v>116</v>
      </c>
      <c r="AP4" s="13"/>
      <c r="AQ4" s="13"/>
      <c r="AR4" s="13"/>
      <c r="AS4" s="13" t="s">
        <v>98</v>
      </c>
      <c r="AT4" s="13" t="s">
        <v>99</v>
      </c>
      <c r="AU4" s="13" t="s">
        <v>100</v>
      </c>
      <c r="AV4" s="13" t="s">
        <v>101</v>
      </c>
      <c r="AW4" s="13" t="s">
        <v>102</v>
      </c>
      <c r="AX4" s="13" t="s">
        <v>103</v>
      </c>
      <c r="AY4" s="13" t="s">
        <v>104</v>
      </c>
      <c r="AZ4" s="13" t="s">
        <v>105</v>
      </c>
      <c r="BA4" s="13" t="s">
        <v>106</v>
      </c>
      <c r="BB4" s="13" t="s">
        <v>107</v>
      </c>
      <c r="BC4" s="13" t="s">
        <v>75</v>
      </c>
      <c r="BD4" s="13" t="s">
        <v>78</v>
      </c>
      <c r="BE4" s="13" t="s">
        <v>108</v>
      </c>
      <c r="BF4" s="37" t="s">
        <v>109</v>
      </c>
    </row>
    <row r="5" spans="1:58" ht="15" thickBot="1">
      <c r="A5" s="41"/>
      <c r="B5" s="42"/>
      <c r="C5" s="43"/>
      <c r="D5" s="43"/>
      <c r="E5" s="43"/>
      <c r="F5" s="44"/>
      <c r="G5" s="45" t="str">
        <f>IFERROR(HLOOKUP(G4,Reference!1:2,2,0),"")</f>
        <v/>
      </c>
      <c r="H5" s="46" t="str">
        <f>IFERROR(HLOOKUP(H4,Reference!1:2,2,0),"")</f>
        <v/>
      </c>
      <c r="I5" s="46" t="str">
        <f>IFERROR(HLOOKUP(I4,Reference!1:2,2,0),"")</f>
        <v/>
      </c>
      <c r="J5" s="46" t="str">
        <f>IFERROR(HLOOKUP(J4,Reference!1:2,2,0),"")</f>
        <v/>
      </c>
      <c r="K5" s="46" t="str">
        <f>IFERROR(HLOOKUP(K4,Reference!1:2,2,0),"")</f>
        <v/>
      </c>
      <c r="L5" s="46" t="str">
        <f>IFERROR(HLOOKUP(L4,Reference!1:2,2,0),"")</f>
        <v/>
      </c>
      <c r="M5" s="46" t="str">
        <f>IFERROR(HLOOKUP(M4,Reference!1:2,2,0),"")</f>
        <v/>
      </c>
      <c r="N5" s="46" t="str">
        <f>IFERROR(HLOOKUP(N4,Reference!1:2,2,0),"")</f>
        <v/>
      </c>
      <c r="O5" s="46" t="str">
        <f>IFERROR(HLOOKUP(O4,Reference!1:2,2,0),"")</f>
        <v/>
      </c>
      <c r="P5" s="46" t="str">
        <f>IFERROR(HLOOKUP(P4,Reference!1:2,2,0),"")</f>
        <v/>
      </c>
      <c r="Q5" s="46" t="str">
        <f>IFERROR(HLOOKUP(Q4,Reference!1:2,2,0),"")</f>
        <v/>
      </c>
      <c r="R5" s="46" t="str">
        <f>IFERROR(HLOOKUP(R4,Reference!1:2,2,0),"")</f>
        <v/>
      </c>
      <c r="S5" s="46" t="str">
        <f>IFERROR(HLOOKUP(S4,Reference!1:2,2,0),"")</f>
        <v/>
      </c>
      <c r="T5" s="46" t="str">
        <f>IFERROR(HLOOKUP(T4,Reference!1:2,2,0),"")</f>
        <v/>
      </c>
      <c r="U5" s="46" t="str">
        <f>IFERROR(HLOOKUP(U4,Reference!1:2,2,0),"")</f>
        <v/>
      </c>
      <c r="V5" s="46" t="str">
        <f>IFERROR(HLOOKUP(V4,Reference!1:2,2,0),"")</f>
        <v/>
      </c>
      <c r="W5" s="46" t="str">
        <f>IFERROR(HLOOKUP(W4,Reference!1:2,2,0),"")</f>
        <v/>
      </c>
      <c r="X5" s="46" t="str">
        <f>IFERROR(HLOOKUP(X4,Reference!1:2,2,0),"")</f>
        <v/>
      </c>
      <c r="Y5" s="46" t="str">
        <f>IFERROR(HLOOKUP(Y4,Reference!1:2,2,0),"")</f>
        <v/>
      </c>
      <c r="Z5" s="46" t="str">
        <f>IFERROR(HLOOKUP(Z4,Reference!1:2,2,0),"")</f>
        <v/>
      </c>
      <c r="AA5" s="46" t="str">
        <f>IFERROR(HLOOKUP(AA4,Reference!1:2,2,0),"")</f>
        <v/>
      </c>
      <c r="AB5" s="46" t="str">
        <f>IFERROR(HLOOKUP(AB4,Reference!1:2,2,0),"")</f>
        <v/>
      </c>
      <c r="AC5" s="46" t="str">
        <f>IFERROR(HLOOKUP(AC4,Reference!1:2,2,0),"")</f>
        <v/>
      </c>
      <c r="AD5" s="46" t="str">
        <f>IFERROR(HLOOKUP(AD4,Reference!1:2,2,0),"")</f>
        <v/>
      </c>
      <c r="AE5" s="46" t="str">
        <f>IFERROR(HLOOKUP(AE4,Reference!1:2,2,0),"")</f>
        <v/>
      </c>
      <c r="AF5" s="46" t="str">
        <f>IFERROR(HLOOKUP(AF4,Reference!1:2,2,0),"")</f>
        <v/>
      </c>
      <c r="AG5" s="46" t="str">
        <f>IFERROR(HLOOKUP(AG4,Reference!1:2,2,0),"")</f>
        <v/>
      </c>
      <c r="AH5" s="46" t="str">
        <f>IFERROR(HLOOKUP(AH4,Reference!1:2,2,0),"")</f>
        <v/>
      </c>
      <c r="AI5" s="46" t="str">
        <f>IFERROR(HLOOKUP(AI4,Reference!1:2,2,0),"")</f>
        <v/>
      </c>
      <c r="AJ5" s="46" t="str">
        <f>IFERROR(HLOOKUP(AJ4,Reference!1:2,2,0),"")</f>
        <v/>
      </c>
      <c r="AK5" s="46" t="str">
        <f>IFERROR(HLOOKUP(AK4,Reference!1:2,2,0),"")</f>
        <v/>
      </c>
      <c r="AL5" s="47" t="str">
        <f>IFERROR(HLOOKUP(AL4,Reference!1:2,2,0),"")</f>
        <v/>
      </c>
      <c r="AM5" s="48"/>
      <c r="AN5" s="43"/>
      <c r="AO5" s="43"/>
      <c r="AP5" s="43"/>
      <c r="AQ5" s="43"/>
      <c r="AR5" s="43"/>
      <c r="AS5" s="43"/>
      <c r="AT5" s="43"/>
      <c r="AU5" s="43"/>
      <c r="AV5" s="43"/>
      <c r="AW5" s="43"/>
      <c r="AX5" s="43"/>
      <c r="AY5" s="43"/>
      <c r="AZ5" s="43"/>
      <c r="BA5" s="43"/>
      <c r="BB5" s="43"/>
      <c r="BC5" s="43"/>
      <c r="BD5" s="49"/>
      <c r="BE5" s="43"/>
      <c r="BF5" s="44"/>
    </row>
    <row r="6" spans="1:58">
      <c r="A6" s="50">
        <v>0</v>
      </c>
      <c r="B6" s="51">
        <v>12345</v>
      </c>
      <c r="C6" s="110" t="s">
        <v>89</v>
      </c>
      <c r="D6" s="52">
        <v>105</v>
      </c>
      <c r="E6" s="110"/>
      <c r="F6" s="53"/>
      <c r="G6" s="54" t="s">
        <v>117</v>
      </c>
      <c r="H6" s="52" t="s">
        <v>117</v>
      </c>
      <c r="I6" s="52"/>
      <c r="J6" s="52" t="s">
        <v>118</v>
      </c>
      <c r="K6" s="52" t="s">
        <v>119</v>
      </c>
      <c r="L6" s="52" t="s">
        <v>117</v>
      </c>
      <c r="M6" s="52"/>
      <c r="N6" s="52"/>
      <c r="O6" s="52" t="s">
        <v>117</v>
      </c>
      <c r="P6" s="52" t="s">
        <v>117</v>
      </c>
      <c r="Q6" s="52"/>
      <c r="R6" s="52"/>
      <c r="S6" s="52" t="s">
        <v>117</v>
      </c>
      <c r="T6" s="52" t="s">
        <v>117</v>
      </c>
      <c r="U6" s="52"/>
      <c r="V6" s="52"/>
      <c r="W6" s="52" t="s">
        <v>117</v>
      </c>
      <c r="X6" s="52" t="s">
        <v>117</v>
      </c>
      <c r="Y6" s="52" t="s">
        <v>117</v>
      </c>
      <c r="Z6" s="52"/>
      <c r="AA6" s="52" t="s">
        <v>117</v>
      </c>
      <c r="AB6" s="52" t="s">
        <v>117</v>
      </c>
      <c r="AC6" s="52"/>
      <c r="AD6" s="52" t="s">
        <v>118</v>
      </c>
      <c r="AE6" s="52" t="s">
        <v>118</v>
      </c>
      <c r="AF6" s="52" t="s">
        <v>118</v>
      </c>
      <c r="AG6" s="52"/>
      <c r="AH6" s="52"/>
      <c r="AI6" s="52" t="s">
        <v>117</v>
      </c>
      <c r="AJ6" s="52" t="s">
        <v>117</v>
      </c>
      <c r="AK6" s="52"/>
      <c r="AL6" s="55"/>
      <c r="AM6" s="60">
        <f t="shared" ref="AM6" si="0">COUNTIFS(G6:AK6,"早12",$G$4:$AK$4,"&lt;="&amp;$D$2)*12</f>
        <v>48</v>
      </c>
      <c r="AN6" s="61">
        <f t="shared" ref="AN6" si="1">COUNTIFS(G6:AK6,"夜12",$G$4:$AK$4,"&lt;="&amp;$D$2)*12</f>
        <v>168</v>
      </c>
      <c r="AO6" s="61">
        <f t="shared" ref="AO6" si="2">COUNTIFS(G6:AK6,"日8",$G$4:$AK$4,"&lt;="&amp;$D$2)*8</f>
        <v>8</v>
      </c>
      <c r="AP6" s="61"/>
      <c r="AQ6" s="61"/>
      <c r="AR6" s="61"/>
      <c r="AS6" s="61" t="e">
        <f t="shared" ref="AS6" si="3">COUNTIFS(G6:AK6,"早12",$G$4:$AK$4,"&lt;="&amp;$D$2,$G$5:$AK$5,"PH")*12+COUNTIFS(G6:AK6,"日8",$G$4:$AK$4,"&lt;="&amp;$D$2,$G$5:$AK$5,"PH")*8+COUNTIFS(G6:AK6,"夜12",$G$4:$AK$4,"&lt;="&amp;$D$2,$G$5:$AK$5,"PH")*4+
IF(AND(G6="夜12",$H$5="PH",$G$4&lt;=$D$2),8,0)+IF(AND(H6="夜12",$I$5="PH",$H$4&lt;=$D$2),8,0)+IF(AND(I6="夜12",$J$5="PH",$I$4&lt;=$D$2),8,0)+IF(AND(J6="夜12",$K$5="PH",$J$4&lt;=$D$2),8,0)+IF(AND(K6="夜12",$L$5="PH",$K$4&lt;=$D$2),8,0)+IF(AND(L6="夜12",$M$5="PH",$L$4&lt;=$D$2),8,0)+IF(AND(M6="夜12",$N$5="PH",$M$4&lt;=$D$2),8,0)+IF(AND(N6="夜12",$O$5="PH",$N$4&lt;=$D$2),8,0)+IF(AND(O6="夜12",$P$5="PH",$O$4&lt;=$D$2),8,0)+IF(AND(P6="夜12",$Q$5="PH",$P$4&lt;=$D$2),8,0)+IF(AND(Q6="夜12",$R$5="PH",$Q$4&lt;=$D$2),8,0)+IF(AND(R6="夜12",$S$5="PH",$R$4&lt;=$D$2),8,0)+IF(AND(S6="夜12",$T$5="PH",$S$4&lt;=$D$2),8,0)+IF(AND(T6="夜12",$U$5="PH",$T$4&lt;=$D$2),8,0)+IF(AND(U6="夜12",$V$5="PH",$U$4&lt;=$D$2),8,0)+IF(AND(V6="夜12",$W$5="PH",$V$4&lt;=$D$2),8,0)+IF(AND(W6="夜12",$X$5="PH",$W$4&lt;=$D$2),8,0)+IF(AND(X6="夜12",$Y$5="PH",$X$4&lt;=$D$2),8,0)+IF(AND(Y6="夜12",$Z$5="PH",$Y$4&lt;=$D$2),8,0)+IF(AND(Z6="夜12",$AA$5="PH",$Z$4&lt;=$D$2),8,0)+IF(AND(AA6="夜12",$AB$5="PH",$AA$4&lt;=$D$2),8,0)+IF(AND(AB6="夜12",$AC$5="PH",$AB$4&lt;=$D$2),8,0)+IF(AND(AC6="夜12",$AD$5="PH",$AC$4&lt;=$D$2),8,0)+IF(AND(AD6="夜12",$AE$5="PH",$AD$4&lt;=$D$2),8,0)+IF(AND(AE6="夜12",$AF$5="PH",$AE$4&lt;=$D$2),8,0)+IF(AND(AF6="夜12",$AG$5="PH",$AF$4&lt;=$D$2),8,0)+IF(AND(AG6="夜12",$AH$5="PH",$AG$4&lt;=$D$2),8,0)+IF(AND(AH6="夜12",$AI$5="PH",$AH$4&lt;=$D$2),8,0)+IF(AND(AI6="夜12",$AJ$5="PH",$AI$4&lt;=$D$2),8,0)+IF(AND(AJ6="夜12",$AK$5="PH",$AJ$4&lt;=$D$2),8,0)+IF(AND(AK6="夜12",$AL$5="PH",$AK$4&lt;=$D$2),8,0)</f>
        <v>#VALUE!</v>
      </c>
      <c r="AT6" s="52"/>
      <c r="AU6" s="52"/>
      <c r="AV6" s="57" t="e">
        <f>SUM(AM6:AO6)-AS6+AT6</f>
        <v>#VALUE!</v>
      </c>
      <c r="AW6" s="57" t="e">
        <f t="shared" ref="AW6" si="4">AV6/8</f>
        <v>#VALUE!</v>
      </c>
      <c r="AX6" s="57" t="e">
        <f t="shared" ref="AX6:AX36" si="5">NETWORKDAYS($C$2,$D$2)</f>
        <v>#VALUE!</v>
      </c>
      <c r="AY6" s="57" t="e">
        <f t="shared" ref="AY6" si="6">ROUND(IF(AW6&gt;=AX6,AX6,AW6)*D6,2)</f>
        <v>#VALUE!</v>
      </c>
      <c r="AZ6" s="57" t="e">
        <f t="shared" ref="AZ6" si="7">ROUND(IF((AW6-AX6)*1.5*D6&lt;0,0,(AW6-AX6)*1.5*D6),2)</f>
        <v>#VALUE!</v>
      </c>
      <c r="BA6" s="57" t="e">
        <f t="shared" ref="BA6" si="8">ROUND(D6/8*(AS6+AU6)*3,2)</f>
        <v>#VALUE!</v>
      </c>
      <c r="BB6" s="101">
        <f>COUNTIFS(G6:AK6,"早12",$G$4:$AK$4,"&lt;="&amp;$D$2)*50+COUNTIFS(G6:AK6,"夜12",$G$4:$AK$4,"&lt;="&amp;$D$2)*50</f>
        <v>900</v>
      </c>
      <c r="BC6" s="52">
        <v>500</v>
      </c>
      <c r="BD6" s="58" t="e">
        <f t="shared" ref="BD6" si="9">SUM(AY6:BC6)</f>
        <v>#VALUE!</v>
      </c>
      <c r="BE6" s="52"/>
      <c r="BF6" s="116" t="s">
        <v>59</v>
      </c>
    </row>
    <row r="7" spans="1:58">
      <c r="A7" s="59">
        <v>1</v>
      </c>
      <c r="B7" s="103"/>
      <c r="C7" s="104"/>
      <c r="D7" s="105"/>
      <c r="E7" s="104"/>
      <c r="F7" s="106"/>
      <c r="G7" s="108"/>
      <c r="H7" s="105"/>
      <c r="I7" s="105"/>
      <c r="J7" s="105"/>
      <c r="K7" s="105"/>
      <c r="L7" s="105"/>
      <c r="M7" s="105"/>
      <c r="N7" s="105"/>
      <c r="O7" s="105"/>
      <c r="P7" s="105"/>
      <c r="Q7" s="105"/>
      <c r="R7" s="105"/>
      <c r="S7" s="105"/>
      <c r="T7" s="105"/>
      <c r="U7" s="105"/>
      <c r="V7" s="105"/>
      <c r="W7" s="105"/>
      <c r="X7" s="105"/>
      <c r="Y7" s="105"/>
      <c r="Z7" s="105"/>
      <c r="AA7" s="105"/>
      <c r="AB7" s="105"/>
      <c r="AC7" s="105"/>
      <c r="AD7" s="105"/>
      <c r="AE7" s="105"/>
      <c r="AF7" s="105"/>
      <c r="AG7" s="105"/>
      <c r="AH7" s="105"/>
      <c r="AI7" s="105"/>
      <c r="AJ7" s="105"/>
      <c r="AK7" s="105"/>
      <c r="AL7" s="97"/>
      <c r="AM7" s="60">
        <f>COUNTIFS(G7:AK7,"早12",$G$4:$AK$4,"&lt;="&amp;$D$2)*12</f>
        <v>0</v>
      </c>
      <c r="AN7" s="61">
        <f>COUNTIFS(G7:AK7,"夜12",$G$4:$AK$4,"&lt;="&amp;$D$2)*12</f>
        <v>0</v>
      </c>
      <c r="AO7" s="61">
        <f>COUNTIFS(G7:AK7,"日8",$G$4:$AK$4,"&lt;="&amp;$D$2)*8</f>
        <v>0</v>
      </c>
      <c r="AP7" s="61"/>
      <c r="AQ7" s="61"/>
      <c r="AR7" s="61"/>
      <c r="AS7" s="61" t="e">
        <f>COUNTIFS(G7:AK7,"早12",$G$4:$AK$4,"&lt;="&amp;$D$2,$G$5:$AK$5,"PH")*12+COUNTIFS(G7:AK7,"日8",$G$4:$AK$4,"&lt;="&amp;$D$2,$G$5:$AK$5,"PH")*8+COUNTIFS(G7:AK7,"夜12",$G$4:$AK$4,"&lt;="&amp;$D$2,$G$5:$AK$5,"PH")*4+
IF(AND(G7="夜12",$H$5="PH",$G$4&lt;=$D$2),8,0)+IF(AND(H7="夜12",$I$5="PH",$H$4&lt;=$D$2),8,0)+IF(AND(I7="夜12",$J$5="PH",$I$4&lt;=$D$2),8,0)+IF(AND(J7="夜12",$K$5="PH",$J$4&lt;=$D$2),8,0)+IF(AND(K7="夜12",$L$5="PH",$K$4&lt;=$D$2),8,0)+IF(AND(L7="夜12",$M$5="PH",$L$4&lt;=$D$2),8,0)+IF(AND(M7="夜12",$N$5="PH",$M$4&lt;=$D$2),8,0)+IF(AND(N7="夜12",$O$5="PH",$N$4&lt;=$D$2),8,0)+IF(AND(O7="夜12",$P$5="PH",$O$4&lt;=$D$2),8,0)+IF(AND(P7="夜12",$Q$5="PH",$P$4&lt;=$D$2),8,0)+IF(AND(Q7="夜12",$R$5="PH",$Q$4&lt;=$D$2),8,0)+IF(AND(R7="夜12",$S$5="PH",$R$4&lt;=$D$2),8,0)+IF(AND(S7="夜12",$T$5="PH",$S$4&lt;=$D$2),8,0)+IF(AND(T7="夜12",$U$5="PH",$T$4&lt;=$D$2),8,0)+IF(AND(U7="夜12",$V$5="PH",$U$4&lt;=$D$2),8,0)+IF(AND(V7="夜12",$W$5="PH",$V$4&lt;=$D$2),8,0)+IF(AND(W7="夜12",$X$5="PH",$W$4&lt;=$D$2),8,0)+IF(AND(X7="夜12",$Y$5="PH",$X$4&lt;=$D$2),8,0)+IF(AND(Y7="夜12",$Z$5="PH",$Y$4&lt;=$D$2),8,0)+IF(AND(Z7="夜12",$AA$5="PH",$Z$4&lt;=$D$2),8,0)+IF(AND(AA7="夜12",$AB$5="PH",$AA$4&lt;=$D$2),8,0)+IF(AND(AB7="夜12",$AC$5="PH",$AB$4&lt;=$D$2),8,0)+IF(AND(AC7="夜12",$AD$5="PH",$AC$4&lt;=$D$2),8,0)+IF(AND(AD7="夜12",$AE$5="PH",$AD$4&lt;=$D$2),8,0)+IF(AND(AE7="夜12",$AF$5="PH",$AE$4&lt;=$D$2),8,0)+IF(AND(AF7="夜12",$AG$5="PH",$AF$4&lt;=$D$2),8,0)+IF(AND(AG7="夜12",$AH$5="PH",$AG$4&lt;=$D$2),8,0)+IF(AND(AH7="夜12",$AI$5="PH",$AH$4&lt;=$D$2),8,0)+IF(AND(AI7="夜12",$AJ$5="PH",$AI$4&lt;=$D$2),8,0)+IF(AND(AJ7="夜12",$AK$5="PH",$AJ$4&lt;=$D$2),8,0)+IF(AND(AK7="夜12",$AL$5="PH",$AK$4&lt;=$D$2),8,0)</f>
        <v>#VALUE!</v>
      </c>
      <c r="AT7" s="105"/>
      <c r="AU7" s="105"/>
      <c r="AV7" s="61" t="e">
        <f t="shared" ref="AV7:AV8" si="10">SUM(AM7:AO7)-AS7+AT7</f>
        <v>#VALUE!</v>
      </c>
      <c r="AW7" s="61" t="e">
        <f t="shared" ref="AW7:AW21" si="11">AV7/8</f>
        <v>#VALUE!</v>
      </c>
      <c r="AX7" s="61" t="e">
        <f t="shared" si="5"/>
        <v>#VALUE!</v>
      </c>
      <c r="AY7" s="61" t="e">
        <f t="shared" ref="AY7:AY21" si="12">ROUND(IF(AW7&gt;=AX7,AX7,AW7)*D7,2)</f>
        <v>#VALUE!</v>
      </c>
      <c r="AZ7" s="61" t="e">
        <f t="shared" ref="AZ7:AZ21" si="13">ROUND(IF((AW7-AX7)*1.5*D7&lt;0,0,(AW7-AX7)*1.5*D7),2)</f>
        <v>#VALUE!</v>
      </c>
      <c r="BA7" s="61" t="e">
        <f t="shared" ref="BA7:BA21" si="14">ROUND(D7/8*(AS7+AU7)*3,2)</f>
        <v>#VALUE!</v>
      </c>
      <c r="BB7" s="61">
        <f t="shared" ref="BB7:BB21" si="15">COUNTIFS(G7:AK7,"早12",$G$4:$AK$4,"&lt;="&amp;$D$2)*50+COUNTIFS(G7:AK7,"夜12",$G$4:$AK$4,"&lt;="&amp;$D$2)*50</f>
        <v>0</v>
      </c>
      <c r="BC7" s="105"/>
      <c r="BD7" s="62" t="e">
        <f t="shared" ref="BD7:BD21" si="16">SUM(AY7:BC7)</f>
        <v>#VALUE!</v>
      </c>
      <c r="BE7" s="105"/>
      <c r="BF7" s="117" t="s">
        <v>59</v>
      </c>
    </row>
    <row r="8" spans="1:58">
      <c r="A8" s="59">
        <v>2</v>
      </c>
      <c r="B8" s="103"/>
      <c r="C8" s="104"/>
      <c r="D8" s="105"/>
      <c r="E8" s="104"/>
      <c r="F8" s="106"/>
      <c r="G8" s="107"/>
      <c r="H8" s="105"/>
      <c r="I8" s="105"/>
      <c r="J8" s="105"/>
      <c r="K8" s="105"/>
      <c r="L8" s="105"/>
      <c r="M8" s="105"/>
      <c r="N8" s="105"/>
      <c r="O8" s="105"/>
      <c r="P8" s="105"/>
      <c r="Q8" s="105"/>
      <c r="R8" s="105"/>
      <c r="S8" s="105"/>
      <c r="T8" s="105"/>
      <c r="U8" s="105"/>
      <c r="V8" s="105"/>
      <c r="W8" s="105"/>
      <c r="X8" s="105"/>
      <c r="Y8" s="105"/>
      <c r="Z8" s="105"/>
      <c r="AA8" s="105"/>
      <c r="AB8" s="105"/>
      <c r="AC8" s="105"/>
      <c r="AD8" s="105"/>
      <c r="AE8" s="105"/>
      <c r="AF8" s="105"/>
      <c r="AG8" s="105"/>
      <c r="AH8" s="105"/>
      <c r="AI8" s="105"/>
      <c r="AJ8" s="105"/>
      <c r="AK8" s="105"/>
      <c r="AL8" s="97"/>
      <c r="AM8" s="60">
        <f t="shared" ref="AM8:AM21" si="17">COUNTIFS(G8:AK8,"早12",$G$4:$AK$4,"&lt;="&amp;$D$2)*12</f>
        <v>0</v>
      </c>
      <c r="AN8" s="61">
        <f t="shared" ref="AN8:AN21" si="18">COUNTIFS(G8:AK8,"夜12",$G$4:$AK$4,"&lt;="&amp;$D$2)*12</f>
        <v>0</v>
      </c>
      <c r="AO8" s="61">
        <f t="shared" ref="AO8:AO21" si="19">COUNTIFS(G8:AK8,"日8",$G$4:$AK$4,"&lt;="&amp;$D$2)*8</f>
        <v>0</v>
      </c>
      <c r="AP8" s="61"/>
      <c r="AQ8" s="61"/>
      <c r="AR8" s="61"/>
      <c r="AS8" s="61" t="e">
        <f t="shared" ref="AS8:AS21" si="20">COUNTIFS(G8:AK8,"早12",$G$4:$AK$4,"&lt;="&amp;$D$2,$G$5:$AK$5,"PH")*12+COUNTIFS(G8:AK8,"日8",$G$4:$AK$4,"&lt;="&amp;$D$2,$G$5:$AK$5,"PH")*8+COUNTIFS(G8:AK8,"夜12",$G$4:$AK$4,"&lt;="&amp;$D$2,$G$5:$AK$5,"PH")*4+
IF(AND(G8="夜12",$H$5="PH",$G$4&lt;=$D$2),8,0)+IF(AND(H8="夜12",$I$5="PH",$H$4&lt;=$D$2),8,0)+IF(AND(I8="夜12",$J$5="PH",$I$4&lt;=$D$2),8,0)+IF(AND(J8="夜12",$K$5="PH",$J$4&lt;=$D$2),8,0)+IF(AND(K8="夜12",$L$5="PH",$K$4&lt;=$D$2),8,0)+IF(AND(L8="夜12",$M$5="PH",$L$4&lt;=$D$2),8,0)+IF(AND(M8="夜12",$N$5="PH",$M$4&lt;=$D$2),8,0)+IF(AND(N8="夜12",$O$5="PH",$N$4&lt;=$D$2),8,0)+IF(AND(O8="夜12",$P$5="PH",$O$4&lt;=$D$2),8,0)+IF(AND(P8="夜12",$Q$5="PH",$P$4&lt;=$D$2),8,0)+IF(AND(Q8="夜12",$R$5="PH",$Q$4&lt;=$D$2),8,0)+IF(AND(R8="夜12",$S$5="PH",$R$4&lt;=$D$2),8,0)+IF(AND(S8="夜12",$T$5="PH",$S$4&lt;=$D$2),8,0)+IF(AND(T8="夜12",$U$5="PH",$T$4&lt;=$D$2),8,0)+IF(AND(U8="夜12",$V$5="PH",$U$4&lt;=$D$2),8,0)+IF(AND(V8="夜12",$W$5="PH",$V$4&lt;=$D$2),8,0)+IF(AND(W8="夜12",$X$5="PH",$W$4&lt;=$D$2),8,0)+IF(AND(X8="夜12",$Y$5="PH",$X$4&lt;=$D$2),8,0)+IF(AND(Y8="夜12",$Z$5="PH",$Y$4&lt;=$D$2),8,0)+IF(AND(Z8="夜12",$AA$5="PH",$Z$4&lt;=$D$2),8,0)+IF(AND(AA8="夜12",$AB$5="PH",$AA$4&lt;=$D$2),8,0)+IF(AND(AB8="夜12",$AC$5="PH",$AB$4&lt;=$D$2),8,0)+IF(AND(AC8="夜12",$AD$5="PH",$AC$4&lt;=$D$2),8,0)+IF(AND(AD8="夜12",$AE$5="PH",$AD$4&lt;=$D$2),8,0)+IF(AND(AE8="夜12",$AF$5="PH",$AE$4&lt;=$D$2),8,0)+IF(AND(AF8="夜12",$AG$5="PH",$AF$4&lt;=$D$2),8,0)+IF(AND(AG8="夜12",$AH$5="PH",$AG$4&lt;=$D$2),8,0)+IF(AND(AH8="夜12",$AI$5="PH",$AH$4&lt;=$D$2),8,0)+IF(AND(AI8="夜12",$AJ$5="PH",$AI$4&lt;=$D$2),8,0)+IF(AND(AJ8="夜12",$AK$5="PH",$AJ$4&lt;=$D$2),8,0)+IF(AND(AK8="夜12",$AL$5="PH",$AK$4&lt;=$D$2),8,0)</f>
        <v>#VALUE!</v>
      </c>
      <c r="AT8" s="105"/>
      <c r="AU8" s="105"/>
      <c r="AV8" s="61" t="e">
        <f t="shared" si="10"/>
        <v>#VALUE!</v>
      </c>
      <c r="AW8" s="61" t="e">
        <f t="shared" si="11"/>
        <v>#VALUE!</v>
      </c>
      <c r="AX8" s="61" t="e">
        <f t="shared" si="5"/>
        <v>#VALUE!</v>
      </c>
      <c r="AY8" s="61" t="e">
        <f t="shared" si="12"/>
        <v>#VALUE!</v>
      </c>
      <c r="AZ8" s="61" t="e">
        <f t="shared" si="13"/>
        <v>#VALUE!</v>
      </c>
      <c r="BA8" s="61" t="e">
        <f t="shared" si="14"/>
        <v>#VALUE!</v>
      </c>
      <c r="BB8" s="61">
        <f t="shared" si="15"/>
        <v>0</v>
      </c>
      <c r="BC8" s="105"/>
      <c r="BD8" s="62" t="e">
        <f t="shared" si="16"/>
        <v>#VALUE!</v>
      </c>
      <c r="BE8" s="105"/>
      <c r="BF8" s="117" t="s">
        <v>59</v>
      </c>
    </row>
    <row r="9" spans="1:58">
      <c r="A9" s="59">
        <v>3</v>
      </c>
      <c r="B9" s="103"/>
      <c r="C9" s="104"/>
      <c r="D9" s="105"/>
      <c r="E9" s="104"/>
      <c r="F9" s="106"/>
      <c r="G9" s="107"/>
      <c r="H9" s="105"/>
      <c r="I9" s="105"/>
      <c r="J9" s="105"/>
      <c r="K9" s="105"/>
      <c r="L9" s="105"/>
      <c r="M9" s="105"/>
      <c r="N9" s="105"/>
      <c r="O9" s="105"/>
      <c r="P9" s="105"/>
      <c r="Q9" s="105"/>
      <c r="R9" s="105"/>
      <c r="S9" s="105"/>
      <c r="T9" s="105"/>
      <c r="U9" s="105"/>
      <c r="V9" s="105"/>
      <c r="W9" s="105"/>
      <c r="X9" s="105"/>
      <c r="Y9" s="105"/>
      <c r="Z9" s="105"/>
      <c r="AA9" s="105"/>
      <c r="AB9" s="105"/>
      <c r="AC9" s="105"/>
      <c r="AD9" s="105"/>
      <c r="AE9" s="105"/>
      <c r="AF9" s="105"/>
      <c r="AG9" s="105"/>
      <c r="AH9" s="105"/>
      <c r="AI9" s="105"/>
      <c r="AJ9" s="105"/>
      <c r="AK9" s="105"/>
      <c r="AL9" s="97"/>
      <c r="AM9" s="60">
        <f t="shared" si="17"/>
        <v>0</v>
      </c>
      <c r="AN9" s="61">
        <f t="shared" si="18"/>
        <v>0</v>
      </c>
      <c r="AO9" s="61">
        <f t="shared" si="19"/>
        <v>0</v>
      </c>
      <c r="AP9" s="61"/>
      <c r="AQ9" s="61"/>
      <c r="AR9" s="61"/>
      <c r="AS9" s="61" t="e">
        <f t="shared" si="20"/>
        <v>#VALUE!</v>
      </c>
      <c r="AT9" s="105"/>
      <c r="AU9" s="105"/>
      <c r="AV9" s="61" t="e">
        <f>SUM(AM9:AO9)-AS9+AT9</f>
        <v>#VALUE!</v>
      </c>
      <c r="AW9" s="61" t="e">
        <f t="shared" si="11"/>
        <v>#VALUE!</v>
      </c>
      <c r="AX9" s="61" t="e">
        <f t="shared" si="5"/>
        <v>#VALUE!</v>
      </c>
      <c r="AY9" s="61" t="e">
        <f t="shared" si="12"/>
        <v>#VALUE!</v>
      </c>
      <c r="AZ9" s="61" t="e">
        <f t="shared" si="13"/>
        <v>#VALUE!</v>
      </c>
      <c r="BA9" s="61" t="e">
        <f t="shared" si="14"/>
        <v>#VALUE!</v>
      </c>
      <c r="BB9" s="61">
        <f t="shared" si="15"/>
        <v>0</v>
      </c>
      <c r="BC9" s="105"/>
      <c r="BD9" s="62" t="e">
        <f t="shared" si="16"/>
        <v>#VALUE!</v>
      </c>
      <c r="BE9" s="105"/>
      <c r="BF9" s="117" t="s">
        <v>59</v>
      </c>
    </row>
    <row r="10" spans="1:58">
      <c r="A10" s="59">
        <v>4</v>
      </c>
      <c r="B10" s="103"/>
      <c r="C10" s="104"/>
      <c r="D10" s="105"/>
      <c r="E10" s="104"/>
      <c r="F10" s="106"/>
      <c r="G10" s="107"/>
      <c r="H10" s="105"/>
      <c r="I10" s="105"/>
      <c r="J10" s="105"/>
      <c r="K10" s="105"/>
      <c r="L10" s="105"/>
      <c r="M10" s="105"/>
      <c r="N10" s="105"/>
      <c r="O10" s="105"/>
      <c r="P10" s="105"/>
      <c r="Q10" s="105"/>
      <c r="R10" s="105"/>
      <c r="S10" s="105"/>
      <c r="T10" s="105"/>
      <c r="U10" s="105"/>
      <c r="V10" s="105"/>
      <c r="W10" s="105"/>
      <c r="X10" s="105"/>
      <c r="Y10" s="105"/>
      <c r="Z10" s="105"/>
      <c r="AA10" s="105"/>
      <c r="AB10" s="105"/>
      <c r="AC10" s="105"/>
      <c r="AD10" s="105"/>
      <c r="AE10" s="105"/>
      <c r="AF10" s="105"/>
      <c r="AG10" s="105"/>
      <c r="AH10" s="105"/>
      <c r="AI10" s="105"/>
      <c r="AJ10" s="105"/>
      <c r="AK10" s="105"/>
      <c r="AL10" s="97"/>
      <c r="AM10" s="60">
        <f t="shared" si="17"/>
        <v>0</v>
      </c>
      <c r="AN10" s="61">
        <f t="shared" si="18"/>
        <v>0</v>
      </c>
      <c r="AO10" s="61">
        <f t="shared" si="19"/>
        <v>0</v>
      </c>
      <c r="AP10" s="61"/>
      <c r="AQ10" s="61"/>
      <c r="AR10" s="61"/>
      <c r="AS10" s="61" t="e">
        <f t="shared" si="20"/>
        <v>#VALUE!</v>
      </c>
      <c r="AT10" s="105"/>
      <c r="AU10" s="105"/>
      <c r="AV10" s="61" t="e">
        <f t="shared" ref="AV10:AV11" si="21">SUM(AM10:AO10)-AS10+AT10</f>
        <v>#VALUE!</v>
      </c>
      <c r="AW10" s="61" t="e">
        <f t="shared" si="11"/>
        <v>#VALUE!</v>
      </c>
      <c r="AX10" s="61" t="e">
        <f t="shared" si="5"/>
        <v>#VALUE!</v>
      </c>
      <c r="AY10" s="61" t="e">
        <f t="shared" si="12"/>
        <v>#VALUE!</v>
      </c>
      <c r="AZ10" s="61" t="e">
        <f t="shared" si="13"/>
        <v>#VALUE!</v>
      </c>
      <c r="BA10" s="61" t="e">
        <f t="shared" si="14"/>
        <v>#VALUE!</v>
      </c>
      <c r="BB10" s="61">
        <f t="shared" si="15"/>
        <v>0</v>
      </c>
      <c r="BC10" s="105"/>
      <c r="BD10" s="62" t="e">
        <f t="shared" si="16"/>
        <v>#VALUE!</v>
      </c>
      <c r="BE10" s="105"/>
      <c r="BF10" s="117" t="s">
        <v>59</v>
      </c>
    </row>
    <row r="11" spans="1:58">
      <c r="A11" s="59">
        <v>5</v>
      </c>
      <c r="B11" s="103"/>
      <c r="C11" s="104"/>
      <c r="D11" s="105"/>
      <c r="E11" s="104"/>
      <c r="F11" s="106"/>
      <c r="G11" s="107"/>
      <c r="H11" s="105"/>
      <c r="I11" s="105"/>
      <c r="J11" s="105"/>
      <c r="K11" s="105"/>
      <c r="L11" s="105"/>
      <c r="M11" s="105"/>
      <c r="N11" s="105"/>
      <c r="O11" s="105"/>
      <c r="P11" s="105"/>
      <c r="Q11" s="105"/>
      <c r="R11" s="105"/>
      <c r="S11" s="105"/>
      <c r="T11" s="105"/>
      <c r="U11" s="105"/>
      <c r="V11" s="105"/>
      <c r="W11" s="105"/>
      <c r="X11" s="105"/>
      <c r="Y11" s="105"/>
      <c r="Z11" s="105"/>
      <c r="AA11" s="105"/>
      <c r="AB11" s="105"/>
      <c r="AC11" s="105"/>
      <c r="AD11" s="105"/>
      <c r="AE11" s="105"/>
      <c r="AF11" s="105"/>
      <c r="AG11" s="105"/>
      <c r="AH11" s="105"/>
      <c r="AI11" s="105"/>
      <c r="AJ11" s="105"/>
      <c r="AK11" s="105"/>
      <c r="AL11" s="97"/>
      <c r="AM11" s="60">
        <f t="shared" si="17"/>
        <v>0</v>
      </c>
      <c r="AN11" s="61">
        <f t="shared" si="18"/>
        <v>0</v>
      </c>
      <c r="AO11" s="61">
        <f t="shared" si="19"/>
        <v>0</v>
      </c>
      <c r="AP11" s="61"/>
      <c r="AQ11" s="61"/>
      <c r="AR11" s="61"/>
      <c r="AS11" s="61" t="e">
        <f t="shared" si="20"/>
        <v>#VALUE!</v>
      </c>
      <c r="AT11" s="105"/>
      <c r="AU11" s="105"/>
      <c r="AV11" s="61" t="e">
        <f t="shared" si="21"/>
        <v>#VALUE!</v>
      </c>
      <c r="AW11" s="61" t="e">
        <f t="shared" si="11"/>
        <v>#VALUE!</v>
      </c>
      <c r="AX11" s="61" t="e">
        <f t="shared" si="5"/>
        <v>#VALUE!</v>
      </c>
      <c r="AY11" s="61" t="e">
        <f t="shared" si="12"/>
        <v>#VALUE!</v>
      </c>
      <c r="AZ11" s="61" t="e">
        <f t="shared" si="13"/>
        <v>#VALUE!</v>
      </c>
      <c r="BA11" s="61" t="e">
        <f t="shared" si="14"/>
        <v>#VALUE!</v>
      </c>
      <c r="BB11" s="61">
        <f t="shared" si="15"/>
        <v>0</v>
      </c>
      <c r="BC11" s="105"/>
      <c r="BD11" s="62" t="e">
        <f t="shared" si="16"/>
        <v>#VALUE!</v>
      </c>
      <c r="BE11" s="105"/>
      <c r="BF11" s="117" t="s">
        <v>59</v>
      </c>
    </row>
    <row r="12" spans="1:58">
      <c r="A12" s="59">
        <v>6</v>
      </c>
      <c r="B12" s="103"/>
      <c r="C12" s="104"/>
      <c r="D12" s="105"/>
      <c r="E12" s="104"/>
      <c r="F12" s="106"/>
      <c r="G12" s="107"/>
      <c r="H12" s="105"/>
      <c r="I12" s="105"/>
      <c r="J12" s="105"/>
      <c r="K12" s="105"/>
      <c r="L12" s="105"/>
      <c r="M12" s="105"/>
      <c r="N12" s="105"/>
      <c r="O12" s="105"/>
      <c r="P12" s="105"/>
      <c r="Q12" s="105"/>
      <c r="R12" s="105"/>
      <c r="S12" s="105"/>
      <c r="T12" s="105"/>
      <c r="U12" s="105"/>
      <c r="V12" s="105"/>
      <c r="W12" s="105"/>
      <c r="X12" s="105"/>
      <c r="Y12" s="105"/>
      <c r="Z12" s="105"/>
      <c r="AA12" s="105"/>
      <c r="AB12" s="105"/>
      <c r="AC12" s="105"/>
      <c r="AD12" s="105"/>
      <c r="AE12" s="105"/>
      <c r="AF12" s="105"/>
      <c r="AG12" s="105"/>
      <c r="AH12" s="105"/>
      <c r="AI12" s="105"/>
      <c r="AJ12" s="105"/>
      <c r="AK12" s="105"/>
      <c r="AL12" s="97"/>
      <c r="AM12" s="60">
        <f t="shared" si="17"/>
        <v>0</v>
      </c>
      <c r="AN12" s="61">
        <f t="shared" si="18"/>
        <v>0</v>
      </c>
      <c r="AO12" s="61">
        <f t="shared" si="19"/>
        <v>0</v>
      </c>
      <c r="AP12" s="61"/>
      <c r="AQ12" s="61"/>
      <c r="AR12" s="61"/>
      <c r="AS12" s="61" t="e">
        <f t="shared" si="20"/>
        <v>#VALUE!</v>
      </c>
      <c r="AT12" s="105"/>
      <c r="AU12" s="105"/>
      <c r="AV12" s="61" t="e">
        <f>SUM(AM12:AO12)-AS12+AT12</f>
        <v>#VALUE!</v>
      </c>
      <c r="AW12" s="61" t="e">
        <f t="shared" si="11"/>
        <v>#VALUE!</v>
      </c>
      <c r="AX12" s="61" t="e">
        <f t="shared" si="5"/>
        <v>#VALUE!</v>
      </c>
      <c r="AY12" s="61" t="e">
        <f t="shared" si="12"/>
        <v>#VALUE!</v>
      </c>
      <c r="AZ12" s="61" t="e">
        <f t="shared" si="13"/>
        <v>#VALUE!</v>
      </c>
      <c r="BA12" s="61" t="e">
        <f t="shared" si="14"/>
        <v>#VALUE!</v>
      </c>
      <c r="BB12" s="61">
        <f t="shared" si="15"/>
        <v>0</v>
      </c>
      <c r="BC12" s="105"/>
      <c r="BD12" s="62" t="e">
        <f t="shared" si="16"/>
        <v>#VALUE!</v>
      </c>
      <c r="BE12" s="105"/>
      <c r="BF12" s="117" t="s">
        <v>59</v>
      </c>
    </row>
    <row r="13" spans="1:58">
      <c r="A13" s="59">
        <v>7</v>
      </c>
      <c r="B13" s="103"/>
      <c r="C13" s="104"/>
      <c r="D13" s="105"/>
      <c r="E13" s="104"/>
      <c r="F13" s="106"/>
      <c r="G13" s="107"/>
      <c r="H13" s="105"/>
      <c r="I13" s="105"/>
      <c r="J13" s="105"/>
      <c r="K13" s="105"/>
      <c r="L13" s="105"/>
      <c r="M13" s="105"/>
      <c r="N13" s="105"/>
      <c r="O13" s="105"/>
      <c r="P13" s="105"/>
      <c r="Q13" s="105"/>
      <c r="R13" s="105"/>
      <c r="S13" s="105"/>
      <c r="T13" s="105"/>
      <c r="U13" s="105"/>
      <c r="V13" s="105"/>
      <c r="W13" s="105"/>
      <c r="X13" s="105"/>
      <c r="Y13" s="105"/>
      <c r="Z13" s="105"/>
      <c r="AA13" s="105"/>
      <c r="AB13" s="105"/>
      <c r="AC13" s="105"/>
      <c r="AD13" s="105"/>
      <c r="AE13" s="105"/>
      <c r="AF13" s="105"/>
      <c r="AG13" s="105"/>
      <c r="AH13" s="105"/>
      <c r="AI13" s="105"/>
      <c r="AJ13" s="105"/>
      <c r="AK13" s="105"/>
      <c r="AL13" s="97"/>
      <c r="AM13" s="60">
        <f t="shared" si="17"/>
        <v>0</v>
      </c>
      <c r="AN13" s="61">
        <f t="shared" si="18"/>
        <v>0</v>
      </c>
      <c r="AO13" s="61">
        <f t="shared" si="19"/>
        <v>0</v>
      </c>
      <c r="AP13" s="61"/>
      <c r="AQ13" s="61"/>
      <c r="AR13" s="61"/>
      <c r="AS13" s="61" t="e">
        <f t="shared" si="20"/>
        <v>#VALUE!</v>
      </c>
      <c r="AT13" s="105"/>
      <c r="AU13" s="105"/>
      <c r="AV13" s="61" t="e">
        <f t="shared" ref="AV13:AV14" si="22">SUM(AM13:AO13)-AS13+AT13</f>
        <v>#VALUE!</v>
      </c>
      <c r="AW13" s="61" t="e">
        <f t="shared" si="11"/>
        <v>#VALUE!</v>
      </c>
      <c r="AX13" s="61" t="e">
        <f t="shared" si="5"/>
        <v>#VALUE!</v>
      </c>
      <c r="AY13" s="61" t="e">
        <f t="shared" si="12"/>
        <v>#VALUE!</v>
      </c>
      <c r="AZ13" s="61" t="e">
        <f t="shared" si="13"/>
        <v>#VALUE!</v>
      </c>
      <c r="BA13" s="61" t="e">
        <f t="shared" si="14"/>
        <v>#VALUE!</v>
      </c>
      <c r="BB13" s="61">
        <f t="shared" si="15"/>
        <v>0</v>
      </c>
      <c r="BC13" s="105"/>
      <c r="BD13" s="62" t="e">
        <f t="shared" si="16"/>
        <v>#VALUE!</v>
      </c>
      <c r="BE13" s="105"/>
      <c r="BF13" s="117" t="s">
        <v>59</v>
      </c>
    </row>
    <row r="14" spans="1:58">
      <c r="A14" s="59">
        <v>8</v>
      </c>
      <c r="B14" s="103"/>
      <c r="C14" s="104"/>
      <c r="D14" s="105"/>
      <c r="E14" s="104"/>
      <c r="F14" s="106"/>
      <c r="G14" s="107"/>
      <c r="H14" s="105"/>
      <c r="I14" s="105"/>
      <c r="J14" s="105"/>
      <c r="K14" s="105"/>
      <c r="L14" s="105"/>
      <c r="M14" s="105"/>
      <c r="N14" s="105"/>
      <c r="O14" s="105"/>
      <c r="P14" s="105"/>
      <c r="Q14" s="105"/>
      <c r="R14" s="105"/>
      <c r="S14" s="105"/>
      <c r="T14" s="105"/>
      <c r="U14" s="105"/>
      <c r="V14" s="105"/>
      <c r="W14" s="105"/>
      <c r="X14" s="105"/>
      <c r="Y14" s="105"/>
      <c r="Z14" s="105"/>
      <c r="AA14" s="105"/>
      <c r="AB14" s="105"/>
      <c r="AC14" s="105"/>
      <c r="AD14" s="105"/>
      <c r="AE14" s="105"/>
      <c r="AF14" s="105"/>
      <c r="AG14" s="105"/>
      <c r="AH14" s="105"/>
      <c r="AI14" s="105"/>
      <c r="AJ14" s="105"/>
      <c r="AK14" s="105"/>
      <c r="AL14" s="97"/>
      <c r="AM14" s="60">
        <f t="shared" si="17"/>
        <v>0</v>
      </c>
      <c r="AN14" s="61">
        <f t="shared" si="18"/>
        <v>0</v>
      </c>
      <c r="AO14" s="61">
        <f t="shared" si="19"/>
        <v>0</v>
      </c>
      <c r="AP14" s="61"/>
      <c r="AQ14" s="61"/>
      <c r="AR14" s="61"/>
      <c r="AS14" s="61" t="e">
        <f t="shared" si="20"/>
        <v>#VALUE!</v>
      </c>
      <c r="AT14" s="105"/>
      <c r="AU14" s="105"/>
      <c r="AV14" s="61" t="e">
        <f t="shared" si="22"/>
        <v>#VALUE!</v>
      </c>
      <c r="AW14" s="61" t="e">
        <f t="shared" si="11"/>
        <v>#VALUE!</v>
      </c>
      <c r="AX14" s="61" t="e">
        <f t="shared" si="5"/>
        <v>#VALUE!</v>
      </c>
      <c r="AY14" s="61" t="e">
        <f t="shared" si="12"/>
        <v>#VALUE!</v>
      </c>
      <c r="AZ14" s="61" t="e">
        <f t="shared" si="13"/>
        <v>#VALUE!</v>
      </c>
      <c r="BA14" s="61" t="e">
        <f t="shared" si="14"/>
        <v>#VALUE!</v>
      </c>
      <c r="BB14" s="61">
        <f t="shared" si="15"/>
        <v>0</v>
      </c>
      <c r="BC14" s="105"/>
      <c r="BD14" s="62" t="e">
        <f t="shared" si="16"/>
        <v>#VALUE!</v>
      </c>
      <c r="BE14" s="105"/>
      <c r="BF14" s="117" t="s">
        <v>59</v>
      </c>
    </row>
    <row r="15" spans="1:58">
      <c r="A15" s="59">
        <v>9</v>
      </c>
      <c r="B15" s="103"/>
      <c r="C15" s="104"/>
      <c r="D15" s="105"/>
      <c r="E15" s="104"/>
      <c r="F15" s="106"/>
      <c r="G15" s="107"/>
      <c r="H15" s="105"/>
      <c r="I15" s="105"/>
      <c r="J15" s="105"/>
      <c r="K15" s="105"/>
      <c r="L15" s="105"/>
      <c r="M15" s="105"/>
      <c r="N15" s="105"/>
      <c r="O15" s="105"/>
      <c r="P15" s="105"/>
      <c r="Q15" s="105"/>
      <c r="R15" s="105"/>
      <c r="S15" s="105"/>
      <c r="T15" s="105"/>
      <c r="U15" s="105"/>
      <c r="V15" s="105"/>
      <c r="W15" s="105"/>
      <c r="X15" s="105"/>
      <c r="Y15" s="105"/>
      <c r="Z15" s="105"/>
      <c r="AA15" s="105"/>
      <c r="AB15" s="105"/>
      <c r="AC15" s="105"/>
      <c r="AD15" s="105"/>
      <c r="AE15" s="105"/>
      <c r="AF15" s="105"/>
      <c r="AG15" s="105"/>
      <c r="AH15" s="105"/>
      <c r="AI15" s="105"/>
      <c r="AJ15" s="105"/>
      <c r="AK15" s="105"/>
      <c r="AL15" s="97"/>
      <c r="AM15" s="60">
        <f t="shared" si="17"/>
        <v>0</v>
      </c>
      <c r="AN15" s="61">
        <f t="shared" si="18"/>
        <v>0</v>
      </c>
      <c r="AO15" s="61">
        <f t="shared" si="19"/>
        <v>0</v>
      </c>
      <c r="AP15" s="61"/>
      <c r="AQ15" s="61"/>
      <c r="AR15" s="61"/>
      <c r="AS15" s="61" t="e">
        <f t="shared" si="20"/>
        <v>#VALUE!</v>
      </c>
      <c r="AT15" s="105"/>
      <c r="AU15" s="105"/>
      <c r="AV15" s="61" t="e">
        <f>SUM(AM15:AO15)-AS15+AT15</f>
        <v>#VALUE!</v>
      </c>
      <c r="AW15" s="61" t="e">
        <f t="shared" si="11"/>
        <v>#VALUE!</v>
      </c>
      <c r="AX15" s="61" t="e">
        <f t="shared" si="5"/>
        <v>#VALUE!</v>
      </c>
      <c r="AY15" s="61" t="e">
        <f t="shared" si="12"/>
        <v>#VALUE!</v>
      </c>
      <c r="AZ15" s="61" t="e">
        <f t="shared" si="13"/>
        <v>#VALUE!</v>
      </c>
      <c r="BA15" s="61" t="e">
        <f t="shared" si="14"/>
        <v>#VALUE!</v>
      </c>
      <c r="BB15" s="61">
        <f t="shared" si="15"/>
        <v>0</v>
      </c>
      <c r="BC15" s="105"/>
      <c r="BD15" s="62" t="e">
        <f t="shared" si="16"/>
        <v>#VALUE!</v>
      </c>
      <c r="BE15" s="105"/>
      <c r="BF15" s="117" t="s">
        <v>59</v>
      </c>
    </row>
    <row r="16" spans="1:58">
      <c r="A16" s="59">
        <v>10</v>
      </c>
      <c r="B16" s="103"/>
      <c r="C16" s="104"/>
      <c r="D16" s="105"/>
      <c r="E16" s="104"/>
      <c r="F16" s="106"/>
      <c r="G16" s="107"/>
      <c r="H16" s="105"/>
      <c r="I16" s="105"/>
      <c r="J16" s="105"/>
      <c r="K16" s="105"/>
      <c r="L16" s="105"/>
      <c r="M16" s="105"/>
      <c r="N16" s="105"/>
      <c r="O16" s="105"/>
      <c r="P16" s="105"/>
      <c r="Q16" s="105"/>
      <c r="R16" s="105"/>
      <c r="S16" s="105"/>
      <c r="T16" s="105"/>
      <c r="U16" s="105"/>
      <c r="V16" s="105"/>
      <c r="W16" s="105"/>
      <c r="X16" s="105"/>
      <c r="Y16" s="105"/>
      <c r="Z16" s="105"/>
      <c r="AA16" s="105"/>
      <c r="AB16" s="105"/>
      <c r="AC16" s="105"/>
      <c r="AD16" s="105"/>
      <c r="AE16" s="105"/>
      <c r="AF16" s="105"/>
      <c r="AG16" s="105"/>
      <c r="AH16" s="105"/>
      <c r="AI16" s="105"/>
      <c r="AJ16" s="105"/>
      <c r="AK16" s="105"/>
      <c r="AL16" s="97"/>
      <c r="AM16" s="60">
        <f t="shared" si="17"/>
        <v>0</v>
      </c>
      <c r="AN16" s="61">
        <f t="shared" si="18"/>
        <v>0</v>
      </c>
      <c r="AO16" s="61">
        <f t="shared" si="19"/>
        <v>0</v>
      </c>
      <c r="AP16" s="61"/>
      <c r="AQ16" s="61"/>
      <c r="AR16" s="61"/>
      <c r="AS16" s="61" t="e">
        <f t="shared" si="20"/>
        <v>#VALUE!</v>
      </c>
      <c r="AT16" s="105"/>
      <c r="AU16" s="105"/>
      <c r="AV16" s="61" t="e">
        <f t="shared" ref="AV16:AV17" si="23">SUM(AM16:AO16)-AS16+AT16</f>
        <v>#VALUE!</v>
      </c>
      <c r="AW16" s="61" t="e">
        <f t="shared" si="11"/>
        <v>#VALUE!</v>
      </c>
      <c r="AX16" s="61" t="e">
        <f t="shared" si="5"/>
        <v>#VALUE!</v>
      </c>
      <c r="AY16" s="61" t="e">
        <f t="shared" si="12"/>
        <v>#VALUE!</v>
      </c>
      <c r="AZ16" s="61" t="e">
        <f t="shared" si="13"/>
        <v>#VALUE!</v>
      </c>
      <c r="BA16" s="61" t="e">
        <f t="shared" si="14"/>
        <v>#VALUE!</v>
      </c>
      <c r="BB16" s="61">
        <f t="shared" si="15"/>
        <v>0</v>
      </c>
      <c r="BC16" s="105"/>
      <c r="BD16" s="62" t="e">
        <f t="shared" si="16"/>
        <v>#VALUE!</v>
      </c>
      <c r="BE16" s="105"/>
      <c r="BF16" s="117" t="s">
        <v>59</v>
      </c>
    </row>
    <row r="17" spans="1:58">
      <c r="A17" s="59">
        <v>11</v>
      </c>
      <c r="B17" s="103"/>
      <c r="C17" s="104"/>
      <c r="D17" s="105"/>
      <c r="E17" s="104"/>
      <c r="F17" s="106"/>
      <c r="G17" s="107"/>
      <c r="H17" s="105"/>
      <c r="I17" s="105"/>
      <c r="J17" s="105"/>
      <c r="K17" s="105"/>
      <c r="L17" s="105"/>
      <c r="M17" s="105"/>
      <c r="N17" s="105"/>
      <c r="O17" s="105"/>
      <c r="P17" s="105"/>
      <c r="Q17" s="105"/>
      <c r="R17" s="105"/>
      <c r="S17" s="105"/>
      <c r="T17" s="105"/>
      <c r="U17" s="105"/>
      <c r="V17" s="105"/>
      <c r="W17" s="105"/>
      <c r="X17" s="105"/>
      <c r="Y17" s="105"/>
      <c r="Z17" s="105"/>
      <c r="AA17" s="105"/>
      <c r="AB17" s="105"/>
      <c r="AC17" s="105"/>
      <c r="AD17" s="105"/>
      <c r="AE17" s="105"/>
      <c r="AF17" s="105"/>
      <c r="AG17" s="105"/>
      <c r="AH17" s="105"/>
      <c r="AI17" s="105"/>
      <c r="AJ17" s="105"/>
      <c r="AK17" s="105"/>
      <c r="AL17" s="97"/>
      <c r="AM17" s="60">
        <f t="shared" si="17"/>
        <v>0</v>
      </c>
      <c r="AN17" s="61">
        <f t="shared" si="18"/>
        <v>0</v>
      </c>
      <c r="AO17" s="61">
        <f t="shared" si="19"/>
        <v>0</v>
      </c>
      <c r="AP17" s="61"/>
      <c r="AQ17" s="61"/>
      <c r="AR17" s="61"/>
      <c r="AS17" s="61" t="e">
        <f t="shared" si="20"/>
        <v>#VALUE!</v>
      </c>
      <c r="AT17" s="105"/>
      <c r="AU17" s="105"/>
      <c r="AV17" s="61" t="e">
        <f t="shared" si="23"/>
        <v>#VALUE!</v>
      </c>
      <c r="AW17" s="61" t="e">
        <f t="shared" si="11"/>
        <v>#VALUE!</v>
      </c>
      <c r="AX17" s="61" t="e">
        <f t="shared" si="5"/>
        <v>#VALUE!</v>
      </c>
      <c r="AY17" s="61" t="e">
        <f t="shared" si="12"/>
        <v>#VALUE!</v>
      </c>
      <c r="AZ17" s="61" t="e">
        <f t="shared" si="13"/>
        <v>#VALUE!</v>
      </c>
      <c r="BA17" s="61" t="e">
        <f t="shared" si="14"/>
        <v>#VALUE!</v>
      </c>
      <c r="BB17" s="61">
        <f t="shared" si="15"/>
        <v>0</v>
      </c>
      <c r="BC17" s="105"/>
      <c r="BD17" s="62" t="e">
        <f t="shared" si="16"/>
        <v>#VALUE!</v>
      </c>
      <c r="BE17" s="105"/>
      <c r="BF17" s="117" t="s">
        <v>59</v>
      </c>
    </row>
    <row r="18" spans="1:58">
      <c r="A18" s="59">
        <v>12</v>
      </c>
      <c r="B18" s="103"/>
      <c r="C18" s="104"/>
      <c r="D18" s="105"/>
      <c r="E18" s="104"/>
      <c r="F18" s="106"/>
      <c r="G18" s="107"/>
      <c r="H18" s="105"/>
      <c r="I18" s="105"/>
      <c r="J18" s="105"/>
      <c r="K18" s="105"/>
      <c r="L18" s="105"/>
      <c r="M18" s="105"/>
      <c r="N18" s="105"/>
      <c r="O18" s="105"/>
      <c r="P18" s="105"/>
      <c r="Q18" s="105"/>
      <c r="R18" s="105"/>
      <c r="S18" s="105"/>
      <c r="T18" s="105"/>
      <c r="U18" s="105"/>
      <c r="V18" s="105"/>
      <c r="W18" s="105"/>
      <c r="X18" s="105"/>
      <c r="Y18" s="105"/>
      <c r="Z18" s="105"/>
      <c r="AA18" s="105"/>
      <c r="AB18" s="105"/>
      <c r="AC18" s="105"/>
      <c r="AD18" s="105"/>
      <c r="AE18" s="105"/>
      <c r="AF18" s="105"/>
      <c r="AG18" s="105"/>
      <c r="AH18" s="105"/>
      <c r="AI18" s="105"/>
      <c r="AJ18" s="105"/>
      <c r="AK18" s="105"/>
      <c r="AL18" s="97"/>
      <c r="AM18" s="60">
        <f t="shared" si="17"/>
        <v>0</v>
      </c>
      <c r="AN18" s="61">
        <f t="shared" si="18"/>
        <v>0</v>
      </c>
      <c r="AO18" s="61">
        <f t="shared" si="19"/>
        <v>0</v>
      </c>
      <c r="AP18" s="61"/>
      <c r="AQ18" s="61"/>
      <c r="AR18" s="61"/>
      <c r="AS18" s="61" t="e">
        <f t="shared" si="20"/>
        <v>#VALUE!</v>
      </c>
      <c r="AT18" s="105"/>
      <c r="AU18" s="105"/>
      <c r="AV18" s="61" t="e">
        <f t="shared" ref="AV18:AV19" si="24">SUM(AM18:AO18)-AS18+AT18</f>
        <v>#VALUE!</v>
      </c>
      <c r="AW18" s="61" t="e">
        <f t="shared" si="11"/>
        <v>#VALUE!</v>
      </c>
      <c r="AX18" s="61" t="e">
        <f t="shared" si="5"/>
        <v>#VALUE!</v>
      </c>
      <c r="AY18" s="61" t="e">
        <f t="shared" si="12"/>
        <v>#VALUE!</v>
      </c>
      <c r="AZ18" s="61" t="e">
        <f t="shared" si="13"/>
        <v>#VALUE!</v>
      </c>
      <c r="BA18" s="61" t="e">
        <f t="shared" si="14"/>
        <v>#VALUE!</v>
      </c>
      <c r="BB18" s="61">
        <f t="shared" si="15"/>
        <v>0</v>
      </c>
      <c r="BC18" s="105"/>
      <c r="BD18" s="62" t="e">
        <f t="shared" si="16"/>
        <v>#VALUE!</v>
      </c>
      <c r="BE18" s="105"/>
      <c r="BF18" s="117" t="s">
        <v>59</v>
      </c>
    </row>
    <row r="19" spans="1:58">
      <c r="A19" s="59">
        <v>13</v>
      </c>
      <c r="B19" s="103"/>
      <c r="C19" s="104"/>
      <c r="D19" s="105"/>
      <c r="E19" s="104"/>
      <c r="F19" s="106"/>
      <c r="G19" s="107"/>
      <c r="H19" s="105"/>
      <c r="I19" s="105"/>
      <c r="J19" s="105"/>
      <c r="K19" s="105"/>
      <c r="L19" s="105"/>
      <c r="M19" s="105"/>
      <c r="N19" s="105"/>
      <c r="O19" s="105"/>
      <c r="P19" s="105"/>
      <c r="Q19" s="105"/>
      <c r="R19" s="105"/>
      <c r="S19" s="105"/>
      <c r="T19" s="105"/>
      <c r="U19" s="105"/>
      <c r="V19" s="105"/>
      <c r="W19" s="105"/>
      <c r="X19" s="105"/>
      <c r="Y19" s="105"/>
      <c r="Z19" s="105"/>
      <c r="AA19" s="105"/>
      <c r="AB19" s="105"/>
      <c r="AC19" s="105"/>
      <c r="AD19" s="105"/>
      <c r="AE19" s="105"/>
      <c r="AF19" s="105"/>
      <c r="AG19" s="105"/>
      <c r="AH19" s="105"/>
      <c r="AI19" s="105"/>
      <c r="AJ19" s="105"/>
      <c r="AK19" s="105"/>
      <c r="AL19" s="97"/>
      <c r="AM19" s="60">
        <f t="shared" si="17"/>
        <v>0</v>
      </c>
      <c r="AN19" s="61">
        <f t="shared" si="18"/>
        <v>0</v>
      </c>
      <c r="AO19" s="61">
        <f t="shared" si="19"/>
        <v>0</v>
      </c>
      <c r="AP19" s="61"/>
      <c r="AQ19" s="61"/>
      <c r="AR19" s="61"/>
      <c r="AS19" s="61" t="e">
        <f t="shared" si="20"/>
        <v>#VALUE!</v>
      </c>
      <c r="AT19" s="105"/>
      <c r="AU19" s="105"/>
      <c r="AV19" s="61" t="e">
        <f t="shared" si="24"/>
        <v>#VALUE!</v>
      </c>
      <c r="AW19" s="61" t="e">
        <f t="shared" si="11"/>
        <v>#VALUE!</v>
      </c>
      <c r="AX19" s="61" t="e">
        <f t="shared" si="5"/>
        <v>#VALUE!</v>
      </c>
      <c r="AY19" s="61" t="e">
        <f t="shared" si="12"/>
        <v>#VALUE!</v>
      </c>
      <c r="AZ19" s="61" t="e">
        <f t="shared" si="13"/>
        <v>#VALUE!</v>
      </c>
      <c r="BA19" s="61" t="e">
        <f t="shared" si="14"/>
        <v>#VALUE!</v>
      </c>
      <c r="BB19" s="61">
        <f t="shared" si="15"/>
        <v>0</v>
      </c>
      <c r="BC19" s="105"/>
      <c r="BD19" s="62" t="e">
        <f t="shared" si="16"/>
        <v>#VALUE!</v>
      </c>
      <c r="BE19" s="105"/>
      <c r="BF19" s="117" t="s">
        <v>59</v>
      </c>
    </row>
    <row r="20" spans="1:58">
      <c r="A20" s="59">
        <v>14</v>
      </c>
      <c r="B20" s="103"/>
      <c r="C20" s="104"/>
      <c r="D20" s="105"/>
      <c r="E20" s="104"/>
      <c r="F20" s="106"/>
      <c r="G20" s="107"/>
      <c r="H20" s="105"/>
      <c r="I20" s="105"/>
      <c r="J20" s="105"/>
      <c r="K20" s="105"/>
      <c r="L20" s="105"/>
      <c r="M20" s="105"/>
      <c r="N20" s="105"/>
      <c r="O20" s="105"/>
      <c r="P20" s="105"/>
      <c r="Q20" s="105"/>
      <c r="R20" s="105"/>
      <c r="S20" s="105"/>
      <c r="T20" s="105"/>
      <c r="U20" s="105"/>
      <c r="V20" s="105"/>
      <c r="W20" s="105"/>
      <c r="X20" s="105"/>
      <c r="Y20" s="105"/>
      <c r="Z20" s="105"/>
      <c r="AA20" s="105"/>
      <c r="AB20" s="105"/>
      <c r="AC20" s="105"/>
      <c r="AD20" s="105"/>
      <c r="AE20" s="105"/>
      <c r="AF20" s="105"/>
      <c r="AG20" s="105"/>
      <c r="AH20" s="105"/>
      <c r="AI20" s="105"/>
      <c r="AJ20" s="105"/>
      <c r="AK20" s="105"/>
      <c r="AL20" s="97"/>
      <c r="AM20" s="60">
        <f t="shared" si="17"/>
        <v>0</v>
      </c>
      <c r="AN20" s="61">
        <f t="shared" si="18"/>
        <v>0</v>
      </c>
      <c r="AO20" s="61">
        <f t="shared" si="19"/>
        <v>0</v>
      </c>
      <c r="AP20" s="61"/>
      <c r="AQ20" s="61"/>
      <c r="AR20" s="61"/>
      <c r="AS20" s="61" t="e">
        <f t="shared" si="20"/>
        <v>#VALUE!</v>
      </c>
      <c r="AT20" s="105"/>
      <c r="AU20" s="105"/>
      <c r="AV20" s="61" t="e">
        <f t="shared" ref="AV20:AV21" si="25">SUM(AM20:AO20)-AS20+AT20</f>
        <v>#VALUE!</v>
      </c>
      <c r="AW20" s="61" t="e">
        <f t="shared" si="11"/>
        <v>#VALUE!</v>
      </c>
      <c r="AX20" s="61" t="e">
        <f t="shared" si="5"/>
        <v>#VALUE!</v>
      </c>
      <c r="AY20" s="61" t="e">
        <f t="shared" si="12"/>
        <v>#VALUE!</v>
      </c>
      <c r="AZ20" s="61" t="e">
        <f t="shared" si="13"/>
        <v>#VALUE!</v>
      </c>
      <c r="BA20" s="61" t="e">
        <f t="shared" si="14"/>
        <v>#VALUE!</v>
      </c>
      <c r="BB20" s="61">
        <f t="shared" si="15"/>
        <v>0</v>
      </c>
      <c r="BC20" s="105"/>
      <c r="BD20" s="62" t="e">
        <f t="shared" si="16"/>
        <v>#VALUE!</v>
      </c>
      <c r="BE20" s="105"/>
      <c r="BF20" s="117" t="s">
        <v>59</v>
      </c>
    </row>
    <row r="21" spans="1:58">
      <c r="A21" s="59">
        <v>15</v>
      </c>
      <c r="B21" s="103"/>
      <c r="C21" s="104"/>
      <c r="D21" s="105"/>
      <c r="E21" s="104"/>
      <c r="F21" s="106"/>
      <c r="G21" s="107"/>
      <c r="H21" s="105"/>
      <c r="I21" s="105"/>
      <c r="J21" s="105"/>
      <c r="K21" s="105"/>
      <c r="L21" s="105"/>
      <c r="M21" s="105"/>
      <c r="N21" s="105"/>
      <c r="O21" s="105"/>
      <c r="P21" s="105"/>
      <c r="Q21" s="105"/>
      <c r="R21" s="105"/>
      <c r="S21" s="105"/>
      <c r="T21" s="105"/>
      <c r="U21" s="105"/>
      <c r="V21" s="105"/>
      <c r="W21" s="105"/>
      <c r="X21" s="105"/>
      <c r="Y21" s="105"/>
      <c r="Z21" s="105"/>
      <c r="AA21" s="105"/>
      <c r="AB21" s="105"/>
      <c r="AC21" s="105"/>
      <c r="AD21" s="105"/>
      <c r="AE21" s="105"/>
      <c r="AF21" s="105"/>
      <c r="AG21" s="105"/>
      <c r="AH21" s="105"/>
      <c r="AI21" s="105"/>
      <c r="AJ21" s="105"/>
      <c r="AK21" s="105"/>
      <c r="AL21" s="97"/>
      <c r="AM21" s="60">
        <f t="shared" si="17"/>
        <v>0</v>
      </c>
      <c r="AN21" s="61">
        <f t="shared" si="18"/>
        <v>0</v>
      </c>
      <c r="AO21" s="61">
        <f t="shared" si="19"/>
        <v>0</v>
      </c>
      <c r="AP21" s="61"/>
      <c r="AQ21" s="61"/>
      <c r="AR21" s="61"/>
      <c r="AS21" s="61" t="e">
        <f t="shared" si="20"/>
        <v>#VALUE!</v>
      </c>
      <c r="AT21" s="105"/>
      <c r="AU21" s="105"/>
      <c r="AV21" s="61" t="e">
        <f t="shared" si="25"/>
        <v>#VALUE!</v>
      </c>
      <c r="AW21" s="61" t="e">
        <f t="shared" si="11"/>
        <v>#VALUE!</v>
      </c>
      <c r="AX21" s="61" t="e">
        <f t="shared" si="5"/>
        <v>#VALUE!</v>
      </c>
      <c r="AY21" s="61" t="e">
        <f t="shared" si="12"/>
        <v>#VALUE!</v>
      </c>
      <c r="AZ21" s="61" t="e">
        <f t="shared" si="13"/>
        <v>#VALUE!</v>
      </c>
      <c r="BA21" s="61" t="e">
        <f t="shared" si="14"/>
        <v>#VALUE!</v>
      </c>
      <c r="BB21" s="61">
        <f t="shared" si="15"/>
        <v>0</v>
      </c>
      <c r="BC21" s="105"/>
      <c r="BD21" s="62" t="e">
        <f t="shared" si="16"/>
        <v>#VALUE!</v>
      </c>
      <c r="BE21" s="105"/>
      <c r="BF21" s="117" t="s">
        <v>59</v>
      </c>
    </row>
    <row r="22" spans="1:58">
      <c r="A22" s="59">
        <v>16</v>
      </c>
      <c r="B22" s="103"/>
      <c r="C22" s="104"/>
      <c r="D22" s="105"/>
      <c r="E22" s="104"/>
      <c r="F22" s="106"/>
      <c r="G22" s="107"/>
      <c r="H22" s="105"/>
      <c r="I22" s="105"/>
      <c r="J22" s="105"/>
      <c r="K22" s="105"/>
      <c r="L22" s="105"/>
      <c r="M22" s="105"/>
      <c r="N22" s="105"/>
      <c r="O22" s="105"/>
      <c r="P22" s="105"/>
      <c r="Q22" s="105"/>
      <c r="R22" s="105"/>
      <c r="S22" s="105"/>
      <c r="T22" s="105"/>
      <c r="U22" s="105"/>
      <c r="V22" s="105"/>
      <c r="W22" s="105"/>
      <c r="X22" s="105"/>
      <c r="Y22" s="105"/>
      <c r="Z22" s="105"/>
      <c r="AA22" s="105"/>
      <c r="AB22" s="105"/>
      <c r="AC22" s="105"/>
      <c r="AD22" s="105"/>
      <c r="AE22" s="105"/>
      <c r="AF22" s="105"/>
      <c r="AG22" s="105"/>
      <c r="AH22" s="105"/>
      <c r="AI22" s="105"/>
      <c r="AJ22" s="105"/>
      <c r="AK22" s="105"/>
      <c r="AL22" s="97"/>
      <c r="AM22" s="60">
        <f t="shared" ref="AM22:AM36" si="26">COUNTIFS(G22:AK22,"早12",$G$4:$AK$4,"&lt;="&amp;$D$2)*12</f>
        <v>0</v>
      </c>
      <c r="AN22" s="61">
        <f t="shared" ref="AN22:AN36" si="27">COUNTIFS(G22:AK22,"夜12",$G$4:$AK$4,"&lt;="&amp;$D$2)*12</f>
        <v>0</v>
      </c>
      <c r="AO22" s="61">
        <f t="shared" ref="AO22:AO36" si="28">COUNTIFS(G22:AK22,"日8",$G$4:$AK$4,"&lt;="&amp;$D$2)*8</f>
        <v>0</v>
      </c>
      <c r="AP22" s="61"/>
      <c r="AQ22" s="61"/>
      <c r="AR22" s="61"/>
      <c r="AS22" s="61" t="e">
        <f t="shared" ref="AS22:AS36" si="29">COUNTIFS(G22:AK22,"早12",$G$4:$AK$4,"&lt;="&amp;$D$2,$G$5:$AK$5,"PH")*12+COUNTIFS(G22:AK22,"日8",$G$4:$AK$4,"&lt;="&amp;$D$2,$G$5:$AK$5,"PH")*8+COUNTIFS(G22:AK22,"夜12",$G$4:$AK$4,"&lt;="&amp;$D$2,$G$5:$AK$5,"PH")*4+
IF(AND(G22="夜12",$H$5="PH",$G$4&lt;=$D$2),8,0)+IF(AND(H22="夜12",$I$5="PH",$H$4&lt;=$D$2),8,0)+IF(AND(I22="夜12",$J$5="PH",$I$4&lt;=$D$2),8,0)+IF(AND(J22="夜12",$K$5="PH",$J$4&lt;=$D$2),8,0)+IF(AND(K22="夜12",$L$5="PH",$K$4&lt;=$D$2),8,0)+IF(AND(L22="夜12",$M$5="PH",$L$4&lt;=$D$2),8,0)+IF(AND(M22="夜12",$N$5="PH",$M$4&lt;=$D$2),8,0)+IF(AND(N22="夜12",$O$5="PH",$N$4&lt;=$D$2),8,0)+IF(AND(O22="夜12",$P$5="PH",$O$4&lt;=$D$2),8,0)+IF(AND(P22="夜12",$Q$5="PH",$P$4&lt;=$D$2),8,0)+IF(AND(Q22="夜12",$R$5="PH",$Q$4&lt;=$D$2),8,0)+IF(AND(R22="夜12",$S$5="PH",$R$4&lt;=$D$2),8,0)+IF(AND(S22="夜12",$T$5="PH",$S$4&lt;=$D$2),8,0)+IF(AND(T22="夜12",$U$5="PH",$T$4&lt;=$D$2),8,0)+IF(AND(U22="夜12",$V$5="PH",$U$4&lt;=$D$2),8,0)+IF(AND(V22="夜12",$W$5="PH",$V$4&lt;=$D$2),8,0)+IF(AND(W22="夜12",$X$5="PH",$W$4&lt;=$D$2),8,0)+IF(AND(X22="夜12",$Y$5="PH",$X$4&lt;=$D$2),8,0)+IF(AND(Y22="夜12",$Z$5="PH",$Y$4&lt;=$D$2),8,0)+IF(AND(Z22="夜12",$AA$5="PH",$Z$4&lt;=$D$2),8,0)+IF(AND(AA22="夜12",$AB$5="PH",$AA$4&lt;=$D$2),8,0)+IF(AND(AB22="夜12",$AC$5="PH",$AB$4&lt;=$D$2),8,0)+IF(AND(AC22="夜12",$AD$5="PH",$AC$4&lt;=$D$2),8,0)+IF(AND(AD22="夜12",$AE$5="PH",$AD$4&lt;=$D$2),8,0)+IF(AND(AE22="夜12",$AF$5="PH",$AE$4&lt;=$D$2),8,0)+IF(AND(AF22="夜12",$AG$5="PH",$AF$4&lt;=$D$2),8,0)+IF(AND(AG22="夜12",$AH$5="PH",$AG$4&lt;=$D$2),8,0)+IF(AND(AH22="夜12",$AI$5="PH",$AH$4&lt;=$D$2),8,0)+IF(AND(AI22="夜12",$AJ$5="PH",$AI$4&lt;=$D$2),8,0)+IF(AND(AJ22="夜12",$AK$5="PH",$AJ$4&lt;=$D$2),8,0)+IF(AND(AK22="夜12",$AL$5="PH",$AK$4&lt;=$D$2),8,0)</f>
        <v>#VALUE!</v>
      </c>
      <c r="AT22" s="105"/>
      <c r="AU22" s="105"/>
      <c r="AV22" s="61" t="e">
        <f t="shared" ref="AV22:AV36" si="30">SUM(AM22:AO22)-AS22+AT22</f>
        <v>#VALUE!</v>
      </c>
      <c r="AW22" s="61" t="e">
        <f t="shared" ref="AW22:AW36" si="31">AV22/8</f>
        <v>#VALUE!</v>
      </c>
      <c r="AX22" s="61" t="e">
        <f t="shared" si="5"/>
        <v>#VALUE!</v>
      </c>
      <c r="AY22" s="61" t="e">
        <f t="shared" ref="AY22:AY36" si="32">ROUND(IF(AW22&gt;=AX22,AX22,AW22)*D22,2)</f>
        <v>#VALUE!</v>
      </c>
      <c r="AZ22" s="61" t="e">
        <f t="shared" ref="AZ22:AZ36" si="33">ROUND(IF((AW22-AX22)*1.5*D22&lt;0,0,(AW22-AX22)*1.5*D22),2)</f>
        <v>#VALUE!</v>
      </c>
      <c r="BA22" s="61" t="e">
        <f t="shared" ref="BA22:BA36" si="34">ROUND(D22/8*(AS22+AU22)*3,2)</f>
        <v>#VALUE!</v>
      </c>
      <c r="BB22" s="61">
        <f t="shared" ref="BB22:BB36" si="35">COUNTIFS(G22:AK22,"早12",$G$4:$AK$4,"&lt;="&amp;$D$2)*50+COUNTIFS(G22:AK22,"夜12",$G$4:$AK$4,"&lt;="&amp;$D$2)*50</f>
        <v>0</v>
      </c>
      <c r="BC22" s="105"/>
      <c r="BD22" s="62" t="e">
        <f t="shared" ref="BD22:BD36" si="36">SUM(AY22:BC22)</f>
        <v>#VALUE!</v>
      </c>
      <c r="BE22" s="105"/>
      <c r="BF22" s="117" t="s">
        <v>59</v>
      </c>
    </row>
    <row r="23" spans="1:58">
      <c r="A23" s="59">
        <v>17</v>
      </c>
      <c r="B23" s="103"/>
      <c r="C23" s="104"/>
      <c r="D23" s="105"/>
      <c r="E23" s="104"/>
      <c r="F23" s="106"/>
      <c r="G23" s="107"/>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7"/>
      <c r="AM23" s="60">
        <f t="shared" si="26"/>
        <v>0</v>
      </c>
      <c r="AN23" s="61">
        <f t="shared" si="27"/>
        <v>0</v>
      </c>
      <c r="AO23" s="61">
        <f t="shared" si="28"/>
        <v>0</v>
      </c>
      <c r="AP23" s="61"/>
      <c r="AQ23" s="61"/>
      <c r="AR23" s="61"/>
      <c r="AS23" s="61" t="e">
        <f t="shared" si="29"/>
        <v>#VALUE!</v>
      </c>
      <c r="AT23" s="105"/>
      <c r="AU23" s="105"/>
      <c r="AV23" s="61" t="e">
        <f t="shared" si="30"/>
        <v>#VALUE!</v>
      </c>
      <c r="AW23" s="61" t="e">
        <f t="shared" si="31"/>
        <v>#VALUE!</v>
      </c>
      <c r="AX23" s="61" t="e">
        <f t="shared" si="5"/>
        <v>#VALUE!</v>
      </c>
      <c r="AY23" s="61" t="e">
        <f t="shared" si="32"/>
        <v>#VALUE!</v>
      </c>
      <c r="AZ23" s="61" t="e">
        <f t="shared" si="33"/>
        <v>#VALUE!</v>
      </c>
      <c r="BA23" s="61" t="e">
        <f t="shared" si="34"/>
        <v>#VALUE!</v>
      </c>
      <c r="BB23" s="61">
        <f t="shared" si="35"/>
        <v>0</v>
      </c>
      <c r="BC23" s="105"/>
      <c r="BD23" s="62" t="e">
        <f t="shared" si="36"/>
        <v>#VALUE!</v>
      </c>
      <c r="BE23" s="105"/>
      <c r="BF23" s="117" t="s">
        <v>59</v>
      </c>
    </row>
    <row r="24" spans="1:58">
      <c r="A24" s="59">
        <v>18</v>
      </c>
      <c r="B24" s="103"/>
      <c r="C24" s="104"/>
      <c r="D24" s="105"/>
      <c r="E24" s="104"/>
      <c r="F24" s="106"/>
      <c r="G24" s="107"/>
      <c r="H24" s="105"/>
      <c r="I24" s="105"/>
      <c r="J24" s="105"/>
      <c r="K24" s="105"/>
      <c r="L24" s="105"/>
      <c r="M24" s="105"/>
      <c r="N24" s="105"/>
      <c r="O24" s="105"/>
      <c r="P24" s="105"/>
      <c r="Q24" s="105"/>
      <c r="R24" s="105"/>
      <c r="S24" s="105"/>
      <c r="T24" s="105"/>
      <c r="U24" s="105"/>
      <c r="V24" s="105"/>
      <c r="W24" s="105"/>
      <c r="X24" s="105"/>
      <c r="Y24" s="105"/>
      <c r="Z24" s="105"/>
      <c r="AA24" s="105"/>
      <c r="AB24" s="105"/>
      <c r="AC24" s="105"/>
      <c r="AD24" s="105"/>
      <c r="AE24" s="105"/>
      <c r="AF24" s="105"/>
      <c r="AG24" s="105"/>
      <c r="AH24" s="105"/>
      <c r="AI24" s="105"/>
      <c r="AJ24" s="105"/>
      <c r="AK24" s="105"/>
      <c r="AL24" s="97"/>
      <c r="AM24" s="60">
        <f t="shared" si="26"/>
        <v>0</v>
      </c>
      <c r="AN24" s="61">
        <f t="shared" si="27"/>
        <v>0</v>
      </c>
      <c r="AO24" s="61">
        <f t="shared" si="28"/>
        <v>0</v>
      </c>
      <c r="AP24" s="61"/>
      <c r="AQ24" s="61"/>
      <c r="AR24" s="61"/>
      <c r="AS24" s="61" t="e">
        <f t="shared" si="29"/>
        <v>#VALUE!</v>
      </c>
      <c r="AT24" s="105"/>
      <c r="AU24" s="105"/>
      <c r="AV24" s="61" t="e">
        <f t="shared" si="30"/>
        <v>#VALUE!</v>
      </c>
      <c r="AW24" s="61" t="e">
        <f t="shared" si="31"/>
        <v>#VALUE!</v>
      </c>
      <c r="AX24" s="61" t="e">
        <f t="shared" si="5"/>
        <v>#VALUE!</v>
      </c>
      <c r="AY24" s="61" t="e">
        <f t="shared" si="32"/>
        <v>#VALUE!</v>
      </c>
      <c r="AZ24" s="61" t="e">
        <f t="shared" si="33"/>
        <v>#VALUE!</v>
      </c>
      <c r="BA24" s="61" t="e">
        <f t="shared" si="34"/>
        <v>#VALUE!</v>
      </c>
      <c r="BB24" s="61">
        <f t="shared" si="35"/>
        <v>0</v>
      </c>
      <c r="BC24" s="105"/>
      <c r="BD24" s="62" t="e">
        <f t="shared" si="36"/>
        <v>#VALUE!</v>
      </c>
      <c r="BE24" s="105"/>
      <c r="BF24" s="117" t="s">
        <v>59</v>
      </c>
    </row>
    <row r="25" spans="1:58">
      <c r="A25" s="59">
        <v>19</v>
      </c>
      <c r="B25" s="103"/>
      <c r="C25" s="104"/>
      <c r="D25" s="105"/>
      <c r="E25" s="104"/>
      <c r="F25" s="106"/>
      <c r="G25" s="107"/>
      <c r="H25" s="105"/>
      <c r="I25" s="105"/>
      <c r="J25" s="105"/>
      <c r="K25" s="105"/>
      <c r="L25" s="105"/>
      <c r="M25" s="105"/>
      <c r="N25" s="105"/>
      <c r="O25" s="105"/>
      <c r="P25" s="105"/>
      <c r="Q25" s="105"/>
      <c r="R25" s="105"/>
      <c r="S25" s="105"/>
      <c r="T25" s="105"/>
      <c r="U25" s="105"/>
      <c r="V25" s="105"/>
      <c r="W25" s="105"/>
      <c r="X25" s="105"/>
      <c r="Y25" s="105"/>
      <c r="Z25" s="105"/>
      <c r="AA25" s="105"/>
      <c r="AB25" s="105"/>
      <c r="AC25" s="105"/>
      <c r="AD25" s="105"/>
      <c r="AE25" s="105"/>
      <c r="AF25" s="105"/>
      <c r="AG25" s="105"/>
      <c r="AH25" s="105"/>
      <c r="AI25" s="105"/>
      <c r="AJ25" s="105"/>
      <c r="AK25" s="105"/>
      <c r="AL25" s="97"/>
      <c r="AM25" s="60">
        <f t="shared" si="26"/>
        <v>0</v>
      </c>
      <c r="AN25" s="61">
        <f t="shared" si="27"/>
        <v>0</v>
      </c>
      <c r="AO25" s="61">
        <f t="shared" si="28"/>
        <v>0</v>
      </c>
      <c r="AP25" s="61"/>
      <c r="AQ25" s="61"/>
      <c r="AR25" s="61"/>
      <c r="AS25" s="61" t="e">
        <f t="shared" si="29"/>
        <v>#VALUE!</v>
      </c>
      <c r="AT25" s="105"/>
      <c r="AU25" s="105"/>
      <c r="AV25" s="61" t="e">
        <f t="shared" si="30"/>
        <v>#VALUE!</v>
      </c>
      <c r="AW25" s="61" t="e">
        <f t="shared" si="31"/>
        <v>#VALUE!</v>
      </c>
      <c r="AX25" s="61" t="e">
        <f t="shared" si="5"/>
        <v>#VALUE!</v>
      </c>
      <c r="AY25" s="61" t="e">
        <f t="shared" si="32"/>
        <v>#VALUE!</v>
      </c>
      <c r="AZ25" s="61" t="e">
        <f t="shared" si="33"/>
        <v>#VALUE!</v>
      </c>
      <c r="BA25" s="61" t="e">
        <f t="shared" si="34"/>
        <v>#VALUE!</v>
      </c>
      <c r="BB25" s="61">
        <f t="shared" si="35"/>
        <v>0</v>
      </c>
      <c r="BC25" s="105"/>
      <c r="BD25" s="62" t="e">
        <f t="shared" si="36"/>
        <v>#VALUE!</v>
      </c>
      <c r="BE25" s="105"/>
      <c r="BF25" s="117" t="s">
        <v>59</v>
      </c>
    </row>
    <row r="26" spans="1:58">
      <c r="A26" s="59">
        <v>20</v>
      </c>
      <c r="B26" s="103"/>
      <c r="C26" s="104"/>
      <c r="D26" s="105"/>
      <c r="E26" s="104"/>
      <c r="F26" s="106"/>
      <c r="G26" s="107"/>
      <c r="H26" s="105"/>
      <c r="I26" s="105"/>
      <c r="J26" s="105"/>
      <c r="K26" s="105"/>
      <c r="L26" s="105"/>
      <c r="M26" s="105"/>
      <c r="N26" s="105"/>
      <c r="O26" s="105"/>
      <c r="P26" s="105"/>
      <c r="Q26" s="105"/>
      <c r="R26" s="105"/>
      <c r="S26" s="105"/>
      <c r="T26" s="105"/>
      <c r="U26" s="105"/>
      <c r="V26" s="105"/>
      <c r="W26" s="105"/>
      <c r="X26" s="105"/>
      <c r="Y26" s="105"/>
      <c r="Z26" s="105"/>
      <c r="AA26" s="105"/>
      <c r="AB26" s="105"/>
      <c r="AC26" s="105"/>
      <c r="AD26" s="105"/>
      <c r="AE26" s="105"/>
      <c r="AF26" s="105"/>
      <c r="AG26" s="105"/>
      <c r="AH26" s="105"/>
      <c r="AI26" s="105"/>
      <c r="AJ26" s="105"/>
      <c r="AK26" s="105"/>
      <c r="AL26" s="97"/>
      <c r="AM26" s="60">
        <f t="shared" si="26"/>
        <v>0</v>
      </c>
      <c r="AN26" s="61">
        <f t="shared" si="27"/>
        <v>0</v>
      </c>
      <c r="AO26" s="61">
        <f t="shared" si="28"/>
        <v>0</v>
      </c>
      <c r="AP26" s="61"/>
      <c r="AQ26" s="61"/>
      <c r="AR26" s="61"/>
      <c r="AS26" s="61" t="e">
        <f t="shared" si="29"/>
        <v>#VALUE!</v>
      </c>
      <c r="AT26" s="105"/>
      <c r="AU26" s="105"/>
      <c r="AV26" s="61" t="e">
        <f t="shared" si="30"/>
        <v>#VALUE!</v>
      </c>
      <c r="AW26" s="61" t="e">
        <f t="shared" si="31"/>
        <v>#VALUE!</v>
      </c>
      <c r="AX26" s="61" t="e">
        <f t="shared" si="5"/>
        <v>#VALUE!</v>
      </c>
      <c r="AY26" s="61" t="e">
        <f t="shared" si="32"/>
        <v>#VALUE!</v>
      </c>
      <c r="AZ26" s="61" t="e">
        <f t="shared" si="33"/>
        <v>#VALUE!</v>
      </c>
      <c r="BA26" s="61" t="e">
        <f t="shared" si="34"/>
        <v>#VALUE!</v>
      </c>
      <c r="BB26" s="61">
        <f t="shared" si="35"/>
        <v>0</v>
      </c>
      <c r="BC26" s="105"/>
      <c r="BD26" s="62" t="e">
        <f t="shared" si="36"/>
        <v>#VALUE!</v>
      </c>
      <c r="BE26" s="105"/>
      <c r="BF26" s="117" t="s">
        <v>59</v>
      </c>
    </row>
    <row r="27" spans="1:58">
      <c r="A27" s="59">
        <v>21</v>
      </c>
      <c r="B27" s="103"/>
      <c r="C27" s="104"/>
      <c r="D27" s="105"/>
      <c r="E27" s="104"/>
      <c r="F27" s="106"/>
      <c r="G27" s="107"/>
      <c r="H27" s="105"/>
      <c r="I27" s="105"/>
      <c r="J27" s="105"/>
      <c r="K27" s="105"/>
      <c r="L27" s="105"/>
      <c r="M27" s="105"/>
      <c r="N27" s="105"/>
      <c r="O27" s="105"/>
      <c r="P27" s="105"/>
      <c r="Q27" s="105"/>
      <c r="R27" s="105"/>
      <c r="S27" s="105"/>
      <c r="T27" s="105"/>
      <c r="U27" s="105"/>
      <c r="V27" s="105"/>
      <c r="W27" s="105"/>
      <c r="X27" s="105"/>
      <c r="Y27" s="105"/>
      <c r="Z27" s="105"/>
      <c r="AA27" s="105"/>
      <c r="AB27" s="105"/>
      <c r="AC27" s="105"/>
      <c r="AD27" s="105"/>
      <c r="AE27" s="105"/>
      <c r="AF27" s="105"/>
      <c r="AG27" s="105"/>
      <c r="AH27" s="105"/>
      <c r="AI27" s="105"/>
      <c r="AJ27" s="105"/>
      <c r="AK27" s="105"/>
      <c r="AL27" s="97"/>
      <c r="AM27" s="60">
        <f t="shared" si="26"/>
        <v>0</v>
      </c>
      <c r="AN27" s="61">
        <f t="shared" si="27"/>
        <v>0</v>
      </c>
      <c r="AO27" s="61">
        <f t="shared" si="28"/>
        <v>0</v>
      </c>
      <c r="AP27" s="61"/>
      <c r="AQ27" s="61"/>
      <c r="AR27" s="61"/>
      <c r="AS27" s="61" t="e">
        <f t="shared" si="29"/>
        <v>#VALUE!</v>
      </c>
      <c r="AT27" s="105"/>
      <c r="AU27" s="105"/>
      <c r="AV27" s="61" t="e">
        <f t="shared" si="30"/>
        <v>#VALUE!</v>
      </c>
      <c r="AW27" s="61" t="e">
        <f t="shared" si="31"/>
        <v>#VALUE!</v>
      </c>
      <c r="AX27" s="61" t="e">
        <f t="shared" si="5"/>
        <v>#VALUE!</v>
      </c>
      <c r="AY27" s="61" t="e">
        <f t="shared" si="32"/>
        <v>#VALUE!</v>
      </c>
      <c r="AZ27" s="61" t="e">
        <f t="shared" si="33"/>
        <v>#VALUE!</v>
      </c>
      <c r="BA27" s="61" t="e">
        <f t="shared" si="34"/>
        <v>#VALUE!</v>
      </c>
      <c r="BB27" s="61">
        <f t="shared" si="35"/>
        <v>0</v>
      </c>
      <c r="BC27" s="105"/>
      <c r="BD27" s="62" t="e">
        <f t="shared" si="36"/>
        <v>#VALUE!</v>
      </c>
      <c r="BE27" s="105"/>
      <c r="BF27" s="117" t="s">
        <v>59</v>
      </c>
    </row>
    <row r="28" spans="1:58">
      <c r="A28" s="59">
        <v>22</v>
      </c>
      <c r="B28" s="103"/>
      <c r="C28" s="104"/>
      <c r="D28" s="105"/>
      <c r="E28" s="104"/>
      <c r="F28" s="106"/>
      <c r="G28" s="107"/>
      <c r="H28" s="105"/>
      <c r="I28" s="105"/>
      <c r="J28" s="105"/>
      <c r="K28" s="105"/>
      <c r="L28" s="105"/>
      <c r="M28" s="105"/>
      <c r="N28" s="105"/>
      <c r="O28" s="105"/>
      <c r="P28" s="105"/>
      <c r="Q28" s="105"/>
      <c r="R28" s="105"/>
      <c r="S28" s="105"/>
      <c r="T28" s="105"/>
      <c r="U28" s="105"/>
      <c r="V28" s="105"/>
      <c r="W28" s="105"/>
      <c r="X28" s="105"/>
      <c r="Y28" s="105"/>
      <c r="Z28" s="105"/>
      <c r="AA28" s="105"/>
      <c r="AB28" s="105"/>
      <c r="AC28" s="105"/>
      <c r="AD28" s="105"/>
      <c r="AE28" s="105"/>
      <c r="AF28" s="105"/>
      <c r="AG28" s="105"/>
      <c r="AH28" s="105"/>
      <c r="AI28" s="105"/>
      <c r="AJ28" s="105"/>
      <c r="AK28" s="105"/>
      <c r="AL28" s="97"/>
      <c r="AM28" s="60">
        <f t="shared" si="26"/>
        <v>0</v>
      </c>
      <c r="AN28" s="61">
        <f t="shared" si="27"/>
        <v>0</v>
      </c>
      <c r="AO28" s="61">
        <f t="shared" si="28"/>
        <v>0</v>
      </c>
      <c r="AP28" s="61"/>
      <c r="AQ28" s="61"/>
      <c r="AR28" s="61"/>
      <c r="AS28" s="61" t="e">
        <f t="shared" si="29"/>
        <v>#VALUE!</v>
      </c>
      <c r="AT28" s="105"/>
      <c r="AU28" s="105"/>
      <c r="AV28" s="61" t="e">
        <f t="shared" si="30"/>
        <v>#VALUE!</v>
      </c>
      <c r="AW28" s="61" t="e">
        <f t="shared" si="31"/>
        <v>#VALUE!</v>
      </c>
      <c r="AX28" s="61" t="e">
        <f t="shared" si="5"/>
        <v>#VALUE!</v>
      </c>
      <c r="AY28" s="61" t="e">
        <f t="shared" si="32"/>
        <v>#VALUE!</v>
      </c>
      <c r="AZ28" s="61" t="e">
        <f t="shared" si="33"/>
        <v>#VALUE!</v>
      </c>
      <c r="BA28" s="61" t="e">
        <f t="shared" si="34"/>
        <v>#VALUE!</v>
      </c>
      <c r="BB28" s="61">
        <f t="shared" si="35"/>
        <v>0</v>
      </c>
      <c r="BC28" s="105"/>
      <c r="BD28" s="62" t="e">
        <f t="shared" si="36"/>
        <v>#VALUE!</v>
      </c>
      <c r="BE28" s="105"/>
      <c r="BF28" s="117" t="s">
        <v>59</v>
      </c>
    </row>
    <row r="29" spans="1:58">
      <c r="A29" s="59">
        <v>23</v>
      </c>
      <c r="B29" s="103"/>
      <c r="C29" s="104"/>
      <c r="D29" s="105"/>
      <c r="E29" s="104"/>
      <c r="F29" s="106"/>
      <c r="G29" s="107"/>
      <c r="H29" s="105"/>
      <c r="I29" s="105"/>
      <c r="J29" s="105"/>
      <c r="K29" s="105"/>
      <c r="L29" s="105"/>
      <c r="M29" s="105"/>
      <c r="N29" s="105"/>
      <c r="O29" s="105"/>
      <c r="P29" s="105"/>
      <c r="Q29" s="105"/>
      <c r="R29" s="105"/>
      <c r="S29" s="105"/>
      <c r="T29" s="105"/>
      <c r="U29" s="105"/>
      <c r="V29" s="105"/>
      <c r="W29" s="105"/>
      <c r="X29" s="105"/>
      <c r="Y29" s="105"/>
      <c r="Z29" s="105"/>
      <c r="AA29" s="105"/>
      <c r="AB29" s="105"/>
      <c r="AC29" s="105"/>
      <c r="AD29" s="105"/>
      <c r="AE29" s="105"/>
      <c r="AF29" s="105"/>
      <c r="AG29" s="105"/>
      <c r="AH29" s="105"/>
      <c r="AI29" s="105"/>
      <c r="AJ29" s="105"/>
      <c r="AK29" s="105"/>
      <c r="AL29" s="97"/>
      <c r="AM29" s="60">
        <f t="shared" si="26"/>
        <v>0</v>
      </c>
      <c r="AN29" s="61">
        <f t="shared" si="27"/>
        <v>0</v>
      </c>
      <c r="AO29" s="61">
        <f t="shared" si="28"/>
        <v>0</v>
      </c>
      <c r="AP29" s="61"/>
      <c r="AQ29" s="61"/>
      <c r="AR29" s="61"/>
      <c r="AS29" s="61" t="e">
        <f t="shared" si="29"/>
        <v>#VALUE!</v>
      </c>
      <c r="AT29" s="105"/>
      <c r="AU29" s="105"/>
      <c r="AV29" s="61" t="e">
        <f t="shared" si="30"/>
        <v>#VALUE!</v>
      </c>
      <c r="AW29" s="61" t="e">
        <f t="shared" si="31"/>
        <v>#VALUE!</v>
      </c>
      <c r="AX29" s="61" t="e">
        <f t="shared" si="5"/>
        <v>#VALUE!</v>
      </c>
      <c r="AY29" s="61" t="e">
        <f t="shared" si="32"/>
        <v>#VALUE!</v>
      </c>
      <c r="AZ29" s="61" t="e">
        <f t="shared" si="33"/>
        <v>#VALUE!</v>
      </c>
      <c r="BA29" s="61" t="e">
        <f t="shared" si="34"/>
        <v>#VALUE!</v>
      </c>
      <c r="BB29" s="61">
        <f t="shared" si="35"/>
        <v>0</v>
      </c>
      <c r="BC29" s="105"/>
      <c r="BD29" s="62" t="e">
        <f t="shared" si="36"/>
        <v>#VALUE!</v>
      </c>
      <c r="BE29" s="105"/>
      <c r="BF29" s="117" t="s">
        <v>59</v>
      </c>
    </row>
    <row r="30" spans="1:58">
      <c r="A30" s="59">
        <v>24</v>
      </c>
      <c r="B30" s="103"/>
      <c r="C30" s="104"/>
      <c r="D30" s="105"/>
      <c r="E30" s="104"/>
      <c r="F30" s="106"/>
      <c r="G30" s="107"/>
      <c r="H30" s="105"/>
      <c r="I30" s="105"/>
      <c r="J30" s="105"/>
      <c r="K30" s="105"/>
      <c r="L30" s="105"/>
      <c r="M30" s="105"/>
      <c r="N30" s="105"/>
      <c r="O30" s="105"/>
      <c r="P30" s="105"/>
      <c r="Q30" s="105"/>
      <c r="R30" s="105"/>
      <c r="S30" s="105"/>
      <c r="T30" s="105"/>
      <c r="U30" s="105"/>
      <c r="V30" s="105"/>
      <c r="W30" s="105"/>
      <c r="X30" s="105"/>
      <c r="Y30" s="105"/>
      <c r="Z30" s="105"/>
      <c r="AA30" s="105"/>
      <c r="AB30" s="105"/>
      <c r="AC30" s="105"/>
      <c r="AD30" s="105"/>
      <c r="AE30" s="105"/>
      <c r="AF30" s="105"/>
      <c r="AG30" s="105"/>
      <c r="AH30" s="105"/>
      <c r="AI30" s="105"/>
      <c r="AJ30" s="105"/>
      <c r="AK30" s="105"/>
      <c r="AL30" s="97"/>
      <c r="AM30" s="60">
        <f t="shared" si="26"/>
        <v>0</v>
      </c>
      <c r="AN30" s="61">
        <f t="shared" si="27"/>
        <v>0</v>
      </c>
      <c r="AO30" s="61">
        <f t="shared" si="28"/>
        <v>0</v>
      </c>
      <c r="AP30" s="61"/>
      <c r="AQ30" s="61"/>
      <c r="AR30" s="61"/>
      <c r="AS30" s="61" t="e">
        <f t="shared" si="29"/>
        <v>#VALUE!</v>
      </c>
      <c r="AT30" s="105"/>
      <c r="AU30" s="105"/>
      <c r="AV30" s="61" t="e">
        <f t="shared" si="30"/>
        <v>#VALUE!</v>
      </c>
      <c r="AW30" s="61" t="e">
        <f t="shared" si="31"/>
        <v>#VALUE!</v>
      </c>
      <c r="AX30" s="61" t="e">
        <f t="shared" si="5"/>
        <v>#VALUE!</v>
      </c>
      <c r="AY30" s="61" t="e">
        <f t="shared" si="32"/>
        <v>#VALUE!</v>
      </c>
      <c r="AZ30" s="61" t="e">
        <f t="shared" si="33"/>
        <v>#VALUE!</v>
      </c>
      <c r="BA30" s="61" t="e">
        <f t="shared" si="34"/>
        <v>#VALUE!</v>
      </c>
      <c r="BB30" s="61">
        <f t="shared" si="35"/>
        <v>0</v>
      </c>
      <c r="BC30" s="105"/>
      <c r="BD30" s="62" t="e">
        <f t="shared" si="36"/>
        <v>#VALUE!</v>
      </c>
      <c r="BE30" s="105"/>
      <c r="BF30" s="117" t="s">
        <v>59</v>
      </c>
    </row>
    <row r="31" spans="1:58">
      <c r="A31" s="59">
        <v>25</v>
      </c>
      <c r="B31" s="103"/>
      <c r="C31" s="104"/>
      <c r="D31" s="105"/>
      <c r="E31" s="104"/>
      <c r="F31" s="106"/>
      <c r="G31" s="107"/>
      <c r="H31" s="105"/>
      <c r="I31" s="105"/>
      <c r="J31" s="105"/>
      <c r="K31" s="105"/>
      <c r="L31" s="105"/>
      <c r="M31" s="105"/>
      <c r="N31" s="105"/>
      <c r="O31" s="105"/>
      <c r="P31" s="105"/>
      <c r="Q31" s="105"/>
      <c r="R31" s="105"/>
      <c r="S31" s="105"/>
      <c r="T31" s="105"/>
      <c r="U31" s="105"/>
      <c r="V31" s="105"/>
      <c r="W31" s="105"/>
      <c r="X31" s="105"/>
      <c r="Y31" s="105"/>
      <c r="Z31" s="105"/>
      <c r="AA31" s="105"/>
      <c r="AB31" s="105"/>
      <c r="AC31" s="105"/>
      <c r="AD31" s="105"/>
      <c r="AE31" s="105"/>
      <c r="AF31" s="105"/>
      <c r="AG31" s="105"/>
      <c r="AH31" s="105"/>
      <c r="AI31" s="105"/>
      <c r="AJ31" s="105"/>
      <c r="AK31" s="105"/>
      <c r="AL31" s="97"/>
      <c r="AM31" s="60">
        <f t="shared" si="26"/>
        <v>0</v>
      </c>
      <c r="AN31" s="61">
        <f t="shared" si="27"/>
        <v>0</v>
      </c>
      <c r="AO31" s="61">
        <f t="shared" si="28"/>
        <v>0</v>
      </c>
      <c r="AP31" s="61"/>
      <c r="AQ31" s="61"/>
      <c r="AR31" s="61"/>
      <c r="AS31" s="61" t="e">
        <f t="shared" si="29"/>
        <v>#VALUE!</v>
      </c>
      <c r="AT31" s="105"/>
      <c r="AU31" s="105"/>
      <c r="AV31" s="61" t="e">
        <f t="shared" si="30"/>
        <v>#VALUE!</v>
      </c>
      <c r="AW31" s="61" t="e">
        <f t="shared" si="31"/>
        <v>#VALUE!</v>
      </c>
      <c r="AX31" s="61" t="e">
        <f t="shared" si="5"/>
        <v>#VALUE!</v>
      </c>
      <c r="AY31" s="61" t="e">
        <f t="shared" si="32"/>
        <v>#VALUE!</v>
      </c>
      <c r="AZ31" s="61" t="e">
        <f t="shared" si="33"/>
        <v>#VALUE!</v>
      </c>
      <c r="BA31" s="61" t="e">
        <f t="shared" si="34"/>
        <v>#VALUE!</v>
      </c>
      <c r="BB31" s="61">
        <f t="shared" si="35"/>
        <v>0</v>
      </c>
      <c r="BC31" s="105"/>
      <c r="BD31" s="62" t="e">
        <f t="shared" si="36"/>
        <v>#VALUE!</v>
      </c>
      <c r="BE31" s="105"/>
      <c r="BF31" s="117" t="s">
        <v>59</v>
      </c>
    </row>
    <row r="32" spans="1:58">
      <c r="A32" s="59">
        <v>26</v>
      </c>
      <c r="B32" s="103"/>
      <c r="C32" s="104"/>
      <c r="D32" s="105"/>
      <c r="E32" s="104"/>
      <c r="F32" s="106"/>
      <c r="G32" s="107"/>
      <c r="H32" s="105"/>
      <c r="I32" s="105"/>
      <c r="J32" s="105"/>
      <c r="K32" s="105"/>
      <c r="L32" s="105"/>
      <c r="M32" s="105"/>
      <c r="N32" s="105"/>
      <c r="O32" s="105"/>
      <c r="P32" s="105"/>
      <c r="Q32" s="105"/>
      <c r="R32" s="105"/>
      <c r="S32" s="105"/>
      <c r="T32" s="105"/>
      <c r="U32" s="105"/>
      <c r="V32" s="105"/>
      <c r="W32" s="105"/>
      <c r="X32" s="105"/>
      <c r="Y32" s="105"/>
      <c r="Z32" s="105"/>
      <c r="AA32" s="105"/>
      <c r="AB32" s="105"/>
      <c r="AC32" s="105"/>
      <c r="AD32" s="105"/>
      <c r="AE32" s="105"/>
      <c r="AF32" s="105"/>
      <c r="AG32" s="105"/>
      <c r="AH32" s="105"/>
      <c r="AI32" s="105"/>
      <c r="AJ32" s="105"/>
      <c r="AK32" s="105"/>
      <c r="AL32" s="97"/>
      <c r="AM32" s="60">
        <f t="shared" si="26"/>
        <v>0</v>
      </c>
      <c r="AN32" s="61">
        <f t="shared" si="27"/>
        <v>0</v>
      </c>
      <c r="AO32" s="61">
        <f t="shared" si="28"/>
        <v>0</v>
      </c>
      <c r="AP32" s="61"/>
      <c r="AQ32" s="61"/>
      <c r="AR32" s="61"/>
      <c r="AS32" s="61" t="e">
        <f t="shared" si="29"/>
        <v>#VALUE!</v>
      </c>
      <c r="AT32" s="105"/>
      <c r="AU32" s="105"/>
      <c r="AV32" s="61" t="e">
        <f t="shared" si="30"/>
        <v>#VALUE!</v>
      </c>
      <c r="AW32" s="61" t="e">
        <f t="shared" si="31"/>
        <v>#VALUE!</v>
      </c>
      <c r="AX32" s="61" t="e">
        <f t="shared" si="5"/>
        <v>#VALUE!</v>
      </c>
      <c r="AY32" s="61" t="e">
        <f t="shared" si="32"/>
        <v>#VALUE!</v>
      </c>
      <c r="AZ32" s="61" t="e">
        <f t="shared" si="33"/>
        <v>#VALUE!</v>
      </c>
      <c r="BA32" s="61" t="e">
        <f t="shared" si="34"/>
        <v>#VALUE!</v>
      </c>
      <c r="BB32" s="61">
        <f t="shared" si="35"/>
        <v>0</v>
      </c>
      <c r="BC32" s="105"/>
      <c r="BD32" s="62" t="e">
        <f t="shared" si="36"/>
        <v>#VALUE!</v>
      </c>
      <c r="BE32" s="105"/>
      <c r="BF32" s="117" t="s">
        <v>59</v>
      </c>
    </row>
    <row r="33" spans="1:58">
      <c r="A33" s="59">
        <v>27</v>
      </c>
      <c r="B33" s="103"/>
      <c r="C33" s="104"/>
      <c r="D33" s="105"/>
      <c r="E33" s="104"/>
      <c r="F33" s="106"/>
      <c r="G33" s="107"/>
      <c r="H33" s="105"/>
      <c r="I33" s="105"/>
      <c r="J33" s="105"/>
      <c r="K33" s="105"/>
      <c r="L33" s="105"/>
      <c r="M33" s="105"/>
      <c r="N33" s="105"/>
      <c r="O33" s="105"/>
      <c r="P33" s="105"/>
      <c r="Q33" s="105"/>
      <c r="R33" s="105"/>
      <c r="S33" s="105"/>
      <c r="T33" s="105"/>
      <c r="U33" s="105"/>
      <c r="V33" s="105"/>
      <c r="W33" s="105"/>
      <c r="X33" s="105"/>
      <c r="Y33" s="105"/>
      <c r="Z33" s="105"/>
      <c r="AA33" s="105"/>
      <c r="AB33" s="105"/>
      <c r="AC33" s="105"/>
      <c r="AD33" s="105"/>
      <c r="AE33" s="105"/>
      <c r="AF33" s="105"/>
      <c r="AG33" s="105"/>
      <c r="AH33" s="105"/>
      <c r="AI33" s="105"/>
      <c r="AJ33" s="105"/>
      <c r="AK33" s="105"/>
      <c r="AL33" s="97"/>
      <c r="AM33" s="60">
        <f t="shared" si="26"/>
        <v>0</v>
      </c>
      <c r="AN33" s="61">
        <f t="shared" si="27"/>
        <v>0</v>
      </c>
      <c r="AO33" s="61">
        <f t="shared" si="28"/>
        <v>0</v>
      </c>
      <c r="AP33" s="61"/>
      <c r="AQ33" s="61"/>
      <c r="AR33" s="61"/>
      <c r="AS33" s="61" t="e">
        <f t="shared" si="29"/>
        <v>#VALUE!</v>
      </c>
      <c r="AT33" s="105"/>
      <c r="AU33" s="105"/>
      <c r="AV33" s="61" t="e">
        <f t="shared" si="30"/>
        <v>#VALUE!</v>
      </c>
      <c r="AW33" s="61" t="e">
        <f t="shared" si="31"/>
        <v>#VALUE!</v>
      </c>
      <c r="AX33" s="61" t="e">
        <f t="shared" si="5"/>
        <v>#VALUE!</v>
      </c>
      <c r="AY33" s="61" t="e">
        <f t="shared" si="32"/>
        <v>#VALUE!</v>
      </c>
      <c r="AZ33" s="61" t="e">
        <f t="shared" si="33"/>
        <v>#VALUE!</v>
      </c>
      <c r="BA33" s="61" t="e">
        <f t="shared" si="34"/>
        <v>#VALUE!</v>
      </c>
      <c r="BB33" s="61">
        <f t="shared" si="35"/>
        <v>0</v>
      </c>
      <c r="BC33" s="105"/>
      <c r="BD33" s="62" t="e">
        <f t="shared" si="36"/>
        <v>#VALUE!</v>
      </c>
      <c r="BE33" s="105"/>
      <c r="BF33" s="117" t="s">
        <v>59</v>
      </c>
    </row>
    <row r="34" spans="1:58">
      <c r="A34" s="59">
        <v>28</v>
      </c>
      <c r="B34" s="103"/>
      <c r="C34" s="104"/>
      <c r="D34" s="105"/>
      <c r="E34" s="104"/>
      <c r="F34" s="106"/>
      <c r="G34" s="107"/>
      <c r="H34" s="105"/>
      <c r="I34" s="105"/>
      <c r="J34" s="105"/>
      <c r="K34" s="105"/>
      <c r="L34" s="105"/>
      <c r="M34" s="105"/>
      <c r="N34" s="105"/>
      <c r="O34" s="105"/>
      <c r="P34" s="105"/>
      <c r="Q34" s="105"/>
      <c r="R34" s="105"/>
      <c r="S34" s="105"/>
      <c r="T34" s="105"/>
      <c r="U34" s="105"/>
      <c r="V34" s="105"/>
      <c r="W34" s="105"/>
      <c r="X34" s="105"/>
      <c r="Y34" s="105"/>
      <c r="Z34" s="105"/>
      <c r="AA34" s="105"/>
      <c r="AB34" s="105"/>
      <c r="AC34" s="105"/>
      <c r="AD34" s="105"/>
      <c r="AE34" s="105"/>
      <c r="AF34" s="105"/>
      <c r="AG34" s="105"/>
      <c r="AH34" s="105"/>
      <c r="AI34" s="105"/>
      <c r="AJ34" s="105"/>
      <c r="AK34" s="105"/>
      <c r="AL34" s="97"/>
      <c r="AM34" s="60">
        <f t="shared" si="26"/>
        <v>0</v>
      </c>
      <c r="AN34" s="61">
        <f t="shared" si="27"/>
        <v>0</v>
      </c>
      <c r="AO34" s="61">
        <f t="shared" si="28"/>
        <v>0</v>
      </c>
      <c r="AP34" s="61"/>
      <c r="AQ34" s="61"/>
      <c r="AR34" s="61"/>
      <c r="AS34" s="61" t="e">
        <f t="shared" si="29"/>
        <v>#VALUE!</v>
      </c>
      <c r="AT34" s="105"/>
      <c r="AU34" s="105"/>
      <c r="AV34" s="61" t="e">
        <f t="shared" si="30"/>
        <v>#VALUE!</v>
      </c>
      <c r="AW34" s="61" t="e">
        <f t="shared" si="31"/>
        <v>#VALUE!</v>
      </c>
      <c r="AX34" s="61" t="e">
        <f t="shared" si="5"/>
        <v>#VALUE!</v>
      </c>
      <c r="AY34" s="61" t="e">
        <f t="shared" si="32"/>
        <v>#VALUE!</v>
      </c>
      <c r="AZ34" s="61" t="e">
        <f t="shared" si="33"/>
        <v>#VALUE!</v>
      </c>
      <c r="BA34" s="61" t="e">
        <f t="shared" si="34"/>
        <v>#VALUE!</v>
      </c>
      <c r="BB34" s="61">
        <f t="shared" si="35"/>
        <v>0</v>
      </c>
      <c r="BC34" s="105"/>
      <c r="BD34" s="62" t="e">
        <f t="shared" si="36"/>
        <v>#VALUE!</v>
      </c>
      <c r="BE34" s="105"/>
      <c r="BF34" s="117" t="s">
        <v>59</v>
      </c>
    </row>
    <row r="35" spans="1:58">
      <c r="A35" s="59">
        <v>29</v>
      </c>
      <c r="B35" s="103"/>
      <c r="C35" s="104"/>
      <c r="D35" s="105"/>
      <c r="E35" s="104"/>
      <c r="F35" s="106"/>
      <c r="G35" s="107"/>
      <c r="H35" s="105"/>
      <c r="I35" s="105"/>
      <c r="J35" s="105"/>
      <c r="K35" s="105"/>
      <c r="L35" s="105"/>
      <c r="M35" s="105"/>
      <c r="N35" s="105"/>
      <c r="O35" s="105"/>
      <c r="P35" s="105"/>
      <c r="Q35" s="105"/>
      <c r="R35" s="105"/>
      <c r="S35" s="105"/>
      <c r="T35" s="105"/>
      <c r="U35" s="105"/>
      <c r="V35" s="105"/>
      <c r="W35" s="105"/>
      <c r="X35" s="105"/>
      <c r="Y35" s="105"/>
      <c r="Z35" s="105"/>
      <c r="AA35" s="105"/>
      <c r="AB35" s="105"/>
      <c r="AC35" s="105"/>
      <c r="AD35" s="105"/>
      <c r="AE35" s="105"/>
      <c r="AF35" s="105"/>
      <c r="AG35" s="105"/>
      <c r="AH35" s="105"/>
      <c r="AI35" s="105"/>
      <c r="AJ35" s="105"/>
      <c r="AK35" s="105"/>
      <c r="AL35" s="97"/>
      <c r="AM35" s="60">
        <f t="shared" si="26"/>
        <v>0</v>
      </c>
      <c r="AN35" s="61">
        <f t="shared" si="27"/>
        <v>0</v>
      </c>
      <c r="AO35" s="61">
        <f t="shared" si="28"/>
        <v>0</v>
      </c>
      <c r="AP35" s="61"/>
      <c r="AQ35" s="61"/>
      <c r="AR35" s="61"/>
      <c r="AS35" s="61" t="e">
        <f t="shared" si="29"/>
        <v>#VALUE!</v>
      </c>
      <c r="AT35" s="105"/>
      <c r="AU35" s="105"/>
      <c r="AV35" s="61" t="e">
        <f t="shared" si="30"/>
        <v>#VALUE!</v>
      </c>
      <c r="AW35" s="61" t="e">
        <f t="shared" si="31"/>
        <v>#VALUE!</v>
      </c>
      <c r="AX35" s="61" t="e">
        <f t="shared" si="5"/>
        <v>#VALUE!</v>
      </c>
      <c r="AY35" s="61" t="e">
        <f t="shared" si="32"/>
        <v>#VALUE!</v>
      </c>
      <c r="AZ35" s="61" t="e">
        <f t="shared" si="33"/>
        <v>#VALUE!</v>
      </c>
      <c r="BA35" s="61" t="e">
        <f t="shared" si="34"/>
        <v>#VALUE!</v>
      </c>
      <c r="BB35" s="61">
        <f t="shared" si="35"/>
        <v>0</v>
      </c>
      <c r="BC35" s="105"/>
      <c r="BD35" s="62" t="e">
        <f t="shared" si="36"/>
        <v>#VALUE!</v>
      </c>
      <c r="BE35" s="105"/>
      <c r="BF35" s="117" t="s">
        <v>59</v>
      </c>
    </row>
    <row r="36" spans="1:58">
      <c r="A36" s="59">
        <v>30</v>
      </c>
      <c r="B36" s="103"/>
      <c r="C36" s="104"/>
      <c r="D36" s="105"/>
      <c r="E36" s="104"/>
      <c r="F36" s="106"/>
      <c r="G36" s="107"/>
      <c r="H36" s="105"/>
      <c r="I36" s="105"/>
      <c r="J36" s="105"/>
      <c r="K36" s="105"/>
      <c r="L36" s="105"/>
      <c r="M36" s="105"/>
      <c r="N36" s="105"/>
      <c r="O36" s="105"/>
      <c r="P36" s="105"/>
      <c r="Q36" s="105"/>
      <c r="R36" s="105"/>
      <c r="S36" s="105"/>
      <c r="T36" s="105"/>
      <c r="U36" s="105"/>
      <c r="V36" s="105"/>
      <c r="W36" s="105"/>
      <c r="X36" s="105"/>
      <c r="Y36" s="105"/>
      <c r="Z36" s="105"/>
      <c r="AA36" s="105"/>
      <c r="AB36" s="105"/>
      <c r="AC36" s="105"/>
      <c r="AD36" s="105"/>
      <c r="AE36" s="105"/>
      <c r="AF36" s="105"/>
      <c r="AG36" s="105"/>
      <c r="AH36" s="105"/>
      <c r="AI36" s="105"/>
      <c r="AJ36" s="105"/>
      <c r="AK36" s="105"/>
      <c r="AL36" s="97"/>
      <c r="AM36" s="60">
        <f t="shared" si="26"/>
        <v>0</v>
      </c>
      <c r="AN36" s="61">
        <f t="shared" si="27"/>
        <v>0</v>
      </c>
      <c r="AO36" s="61">
        <f t="shared" si="28"/>
        <v>0</v>
      </c>
      <c r="AP36" s="61"/>
      <c r="AQ36" s="61"/>
      <c r="AR36" s="61"/>
      <c r="AS36" s="61" t="e">
        <f t="shared" si="29"/>
        <v>#VALUE!</v>
      </c>
      <c r="AT36" s="105"/>
      <c r="AU36" s="105"/>
      <c r="AV36" s="61" t="e">
        <f t="shared" si="30"/>
        <v>#VALUE!</v>
      </c>
      <c r="AW36" s="61" t="e">
        <f t="shared" si="31"/>
        <v>#VALUE!</v>
      </c>
      <c r="AX36" s="61" t="e">
        <f t="shared" si="5"/>
        <v>#VALUE!</v>
      </c>
      <c r="AY36" s="61" t="e">
        <f t="shared" si="32"/>
        <v>#VALUE!</v>
      </c>
      <c r="AZ36" s="61" t="e">
        <f t="shared" si="33"/>
        <v>#VALUE!</v>
      </c>
      <c r="BA36" s="61" t="e">
        <f t="shared" si="34"/>
        <v>#VALUE!</v>
      </c>
      <c r="BB36" s="61">
        <f t="shared" si="35"/>
        <v>0</v>
      </c>
      <c r="BC36" s="105"/>
      <c r="BD36" s="62" t="e">
        <f t="shared" si="36"/>
        <v>#VALUE!</v>
      </c>
      <c r="BE36" s="105"/>
      <c r="BF36" s="117" t="s">
        <v>59</v>
      </c>
    </row>
    <row r="48" spans="1:58">
      <c r="O48" s="11"/>
      <c r="P48" s="11"/>
      <c r="Q48" s="11"/>
      <c r="R48" s="11"/>
      <c r="S48" s="11"/>
      <c r="T48" s="11"/>
    </row>
    <row r="52" spans="15:17">
      <c r="O52" s="63"/>
    </row>
    <row r="53" spans="15:17">
      <c r="Q53" s="63"/>
    </row>
  </sheetData>
  <sheetProtection algorithmName="SHA-512" hashValue="G72WcE/5Z2nLlSNfdf9rbgDSO8EqXGFwKhu+Irrbw86AFqO8SNKSXnarMS6tC6Gm8aYVoGjbNYzOztwA1DMPdQ==" saltValue="RXGw7VohFnVjpFzso3SBVg==" spinCount="100000" sheet="1" insertRows="0" autoFilter="0"/>
  <autoFilter ref="A5:BF5" xr:uid="{913A315E-46EC-40F1-9754-D50C580BB1A4}"/>
  <mergeCells count="2">
    <mergeCell ref="A2:B2"/>
    <mergeCell ref="G2:AL2"/>
  </mergeCells>
  <conditionalFormatting sqref="G5:AL5">
    <cfRule type="containsText" dxfId="31" priority="8" operator="containsText" text="RH">
      <formula>NOT(ISERROR(SEARCH("RH",G5)))</formula>
    </cfRule>
  </conditionalFormatting>
  <conditionalFormatting sqref="G6:AL6">
    <cfRule type="expression" dxfId="30" priority="7">
      <formula>$G$4:$AL$4=""</formula>
    </cfRule>
  </conditionalFormatting>
  <conditionalFormatting sqref="G4:AL4">
    <cfRule type="expression" dxfId="29" priority="6">
      <formula>$G$4:$AL$4&gt;"$D$2"</formula>
    </cfRule>
  </conditionalFormatting>
  <conditionalFormatting sqref="AI4">
    <cfRule type="expression" dxfId="28" priority="5">
      <formula>$AI$4&gt;$D$2</formula>
    </cfRule>
  </conditionalFormatting>
  <conditionalFormatting sqref="AJ4">
    <cfRule type="expression" dxfId="27" priority="4">
      <formula>$AJ$4&gt;$D$2</formula>
    </cfRule>
  </conditionalFormatting>
  <conditionalFormatting sqref="AK4">
    <cfRule type="expression" dxfId="26" priority="3">
      <formula>$AK$4&gt;$D$2</formula>
    </cfRule>
  </conditionalFormatting>
  <conditionalFormatting sqref="AL4">
    <cfRule type="expression" dxfId="25" priority="2">
      <formula>$AL$4&gt;$D$2</formula>
    </cfRule>
  </conditionalFormatting>
  <conditionalFormatting sqref="G7:AL36">
    <cfRule type="expression" dxfId="24" priority="1">
      <formula>$G$4:$AL$4=""</formula>
    </cfRule>
  </conditionalFormatting>
  <dataValidations count="2">
    <dataValidation type="list" allowBlank="1" showInputMessage="1" showErrorMessage="1" sqref="C2" xr:uid="{2574C2C5-D5FC-4429-86BF-41B06D2D4D47}">
      <formula1>CN_Date</formula1>
    </dataValidation>
    <dataValidation type="list" allowBlank="1" showInputMessage="1" showErrorMessage="1" sqref="G6:AL36" xr:uid="{65D56B1F-1E6A-4D96-98A5-635AA4E77715}">
      <formula1>Prod_BACC</formula1>
    </dataValidation>
  </dataValidations>
  <pageMargins left="0.7" right="0.7" top="0.75" bottom="0.75" header="0.3" footer="0.3"/>
  <pageSetup paperSize="9" orientation="portrait" horizontalDpi="1200" verticalDpi="1200" r:id="rId1"/>
  <headerFooter>
    <oddFooter>&amp;C&amp;1#&amp;"Arial"&amp;10&amp;K000000Internal</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BB7728-6431-4B53-B2CD-B892896EF25E}">
  <sheetPr codeName="Sheet8"/>
  <dimension ref="A1:BF54"/>
  <sheetViews>
    <sheetView zoomScale="80" zoomScaleNormal="80" workbookViewId="0">
      <pane xSplit="6" ySplit="5" topLeftCell="G6" activePane="bottomRight" state="frozen"/>
      <selection pane="topRight" activeCell="F28" sqref="F28:AC28"/>
      <selection pane="bottomLeft" activeCell="F28" sqref="F28:AC28"/>
      <selection pane="bottomRight" activeCell="H7" sqref="H7"/>
    </sheetView>
  </sheetViews>
  <sheetFormatPr defaultColWidth="9.109375" defaultRowHeight="14.4"/>
  <cols>
    <col min="1" max="1" width="7.109375" style="8" customWidth="1"/>
    <col min="2" max="4" width="15.44140625" style="8" customWidth="1"/>
    <col min="5" max="6" width="11.5546875" style="8" customWidth="1"/>
    <col min="7" max="38" width="8.5546875" style="8" customWidth="1"/>
    <col min="39" max="45" width="9.109375" style="8"/>
    <col min="46" max="47" width="26.88671875" style="8" customWidth="1"/>
    <col min="48" max="55" width="13.5546875" style="8" customWidth="1"/>
    <col min="56" max="56" width="18.5546875" style="8" bestFit="1" customWidth="1"/>
    <col min="57" max="57" width="9.109375" style="8"/>
    <col min="58" max="58" width="17" style="8" bestFit="1" customWidth="1"/>
    <col min="59" max="16384" width="9.109375" style="8"/>
  </cols>
  <sheetData>
    <row r="1" spans="1:58" ht="18.600000000000001" thickBot="1">
      <c r="A1" s="83" t="s">
        <v>63</v>
      </c>
    </row>
    <row r="2" spans="1:58" ht="47.25" customHeight="1" thickBot="1">
      <c r="A2" s="198" t="s">
        <v>64</v>
      </c>
      <c r="B2" s="199"/>
      <c r="C2" s="102" t="s">
        <v>92</v>
      </c>
      <c r="D2" s="33" t="e">
        <f>EOMONTH(C2,0)</f>
        <v>#VALUE!</v>
      </c>
      <c r="G2" s="210" t="s">
        <v>122</v>
      </c>
      <c r="H2" s="211"/>
      <c r="I2" s="211"/>
      <c r="J2" s="211"/>
      <c r="K2" s="211"/>
      <c r="L2" s="211"/>
      <c r="M2" s="211"/>
      <c r="N2" s="211"/>
      <c r="O2" s="211"/>
      <c r="P2" s="211"/>
      <c r="Q2" s="211"/>
      <c r="R2" s="211"/>
      <c r="S2" s="211"/>
      <c r="T2" s="211"/>
      <c r="U2" s="211"/>
      <c r="V2" s="211"/>
      <c r="W2" s="211"/>
      <c r="X2" s="211"/>
      <c r="Y2" s="211"/>
      <c r="Z2" s="211"/>
      <c r="AA2" s="211"/>
      <c r="AB2" s="211"/>
      <c r="AC2" s="211"/>
      <c r="AD2" s="211"/>
      <c r="AE2" s="211"/>
      <c r="AF2" s="211"/>
      <c r="AG2" s="211"/>
      <c r="AH2" s="211"/>
      <c r="AI2" s="211"/>
      <c r="AJ2" s="211"/>
      <c r="AK2" s="211"/>
      <c r="AL2" s="212"/>
    </row>
    <row r="3" spans="1:58" ht="15" thickBot="1">
      <c r="F3" s="10"/>
      <c r="G3" s="34" t="s">
        <v>88</v>
      </c>
      <c r="H3" s="10"/>
      <c r="I3" s="10"/>
      <c r="J3" s="10"/>
      <c r="K3" s="10"/>
      <c r="L3" s="10"/>
      <c r="M3" s="10"/>
      <c r="N3" s="10"/>
      <c r="O3" s="10"/>
      <c r="P3" s="10"/>
      <c r="Q3" s="10"/>
      <c r="R3" s="10"/>
      <c r="S3" s="10"/>
      <c r="T3" s="10"/>
      <c r="U3" s="10"/>
      <c r="V3" s="10"/>
      <c r="W3" s="10"/>
      <c r="X3" s="10"/>
      <c r="Y3" s="10"/>
      <c r="Z3" s="10"/>
      <c r="AA3" s="10"/>
      <c r="AB3" s="10"/>
      <c r="AC3" s="10"/>
      <c r="AD3" s="10"/>
      <c r="AE3" s="10"/>
      <c r="AF3" s="10"/>
      <c r="AG3" s="10"/>
      <c r="AH3" s="10"/>
    </row>
    <row r="4" spans="1:58" ht="85.5" customHeight="1">
      <c r="A4" s="35" t="s">
        <v>67</v>
      </c>
      <c r="B4" s="36" t="s">
        <v>68</v>
      </c>
      <c r="C4" s="13" t="s">
        <v>69</v>
      </c>
      <c r="D4" s="13" t="s">
        <v>94</v>
      </c>
      <c r="E4" s="13" t="s">
        <v>71</v>
      </c>
      <c r="F4" s="37" t="s">
        <v>72</v>
      </c>
      <c r="G4" s="38" t="e">
        <f>IF($C$2+0&gt;$D$2+1,"",$C$2+0)</f>
        <v>#VALUE!</v>
      </c>
      <c r="H4" s="39" t="e">
        <f>IF($C$2+1&gt;$D$2+1,"",$C$2+1)</f>
        <v>#VALUE!</v>
      </c>
      <c r="I4" s="39" t="e">
        <f>IF($C$2+2&gt;$D$2+1,"",$C$2+2)</f>
        <v>#VALUE!</v>
      </c>
      <c r="J4" s="39" t="e">
        <f>IF($C$2+3&gt;$D$2+1,"",$C$2+3)</f>
        <v>#VALUE!</v>
      </c>
      <c r="K4" s="39" t="e">
        <f>IF($C$2+4&gt;$D$2+1,"",$C$2+4)</f>
        <v>#VALUE!</v>
      </c>
      <c r="L4" s="39" t="e">
        <f>IF($C$2+5&gt;$D$2+1,"",$C$2+5)</f>
        <v>#VALUE!</v>
      </c>
      <c r="M4" s="39" t="e">
        <f>IF($C$2+6&gt;$D$2+1,"",$C$2+6)</f>
        <v>#VALUE!</v>
      </c>
      <c r="N4" s="39" t="e">
        <f>IF($C$2+7&gt;$D$2+1,"",$C$2+7)</f>
        <v>#VALUE!</v>
      </c>
      <c r="O4" s="39" t="e">
        <f>IF($C$2+8&gt;$D$2+1,"",$C$2+8)</f>
        <v>#VALUE!</v>
      </c>
      <c r="P4" s="39" t="e">
        <f>IF($C$2+9&gt;$D$2+1,"",$C$2+9)</f>
        <v>#VALUE!</v>
      </c>
      <c r="Q4" s="39" t="e">
        <f>IF($C$2+10&gt;$D$2+1,"",$C$2+10)</f>
        <v>#VALUE!</v>
      </c>
      <c r="R4" s="39" t="e">
        <f>IF($C$2+11&gt;$D$2+1,"",$C$2+11)</f>
        <v>#VALUE!</v>
      </c>
      <c r="S4" s="39" t="e">
        <f>IF($C$2+12&gt;$D$2+1,"",$C$2+12)</f>
        <v>#VALUE!</v>
      </c>
      <c r="T4" s="39" t="e">
        <f>IF($C$2+13&gt;$D$2+1,"",$C$2+13)</f>
        <v>#VALUE!</v>
      </c>
      <c r="U4" s="39" t="e">
        <f>IF($C$2+14&gt;$D$2+1,"",$C$2+14)</f>
        <v>#VALUE!</v>
      </c>
      <c r="V4" s="39" t="e">
        <f>IF($C$2+15&gt;$D$2+1,"",$C$2+15)</f>
        <v>#VALUE!</v>
      </c>
      <c r="W4" s="39" t="e">
        <f>IF($C$2+16&gt;$D$2+1,"",$C$2+16)</f>
        <v>#VALUE!</v>
      </c>
      <c r="X4" s="39" t="e">
        <f>IF($C$2+17&gt;$D$2+1,"",$C$2+17)</f>
        <v>#VALUE!</v>
      </c>
      <c r="Y4" s="39" t="e">
        <f>IF($C$2+18&gt;$D$2+1,"",$C$2+18)</f>
        <v>#VALUE!</v>
      </c>
      <c r="Z4" s="39" t="e">
        <f>IF($C$2+19&gt;$D$2+1,"",$C$2+19)</f>
        <v>#VALUE!</v>
      </c>
      <c r="AA4" s="39" t="e">
        <f>IF($C$2+20&gt;$D$2+1,"",$C$2+20)</f>
        <v>#VALUE!</v>
      </c>
      <c r="AB4" s="39" t="e">
        <f>IF($C$2+21&gt;$D$2+1,"",$C$2+21)</f>
        <v>#VALUE!</v>
      </c>
      <c r="AC4" s="39" t="e">
        <f>IF($C$2+22&gt;$D$2+1,"",$C$2+22)</f>
        <v>#VALUE!</v>
      </c>
      <c r="AD4" s="39" t="e">
        <f>IF($C$2+23&gt;$D$2+1,"",$C$2+23)</f>
        <v>#VALUE!</v>
      </c>
      <c r="AE4" s="39" t="e">
        <f>IF($C$2+24&gt;$D$2+1,"",$C$2+24)</f>
        <v>#VALUE!</v>
      </c>
      <c r="AF4" s="39" t="e">
        <f>IF($C$2+25&gt;$D$2+1,"",$C$2+25)</f>
        <v>#VALUE!</v>
      </c>
      <c r="AG4" s="39" t="e">
        <f>IF($C$2+26&gt;$D$2+1,"",$C$2+26)</f>
        <v>#VALUE!</v>
      </c>
      <c r="AH4" s="39" t="e">
        <f>IF($C$2+27&gt;$D$2+1,"",$C$2+27)</f>
        <v>#VALUE!</v>
      </c>
      <c r="AI4" s="39" t="e">
        <f>IF($C$2+28&gt;$D$2+1,"",$C$2+28)</f>
        <v>#VALUE!</v>
      </c>
      <c r="AJ4" s="39" t="e">
        <f>IF($C$2+29&gt;$D$2+1,"",$C$2+29)</f>
        <v>#VALUE!</v>
      </c>
      <c r="AK4" s="39" t="e">
        <f>IF($C$2+30&gt;$D$2+1,"",$C$2+30)</f>
        <v>#VALUE!</v>
      </c>
      <c r="AL4" s="40" t="e">
        <f>IF($C$2+31&gt;$D$2+1,"",$C$2+31)</f>
        <v>#VALUE!</v>
      </c>
      <c r="AM4" s="12" t="s">
        <v>123</v>
      </c>
      <c r="AN4" s="13" t="s">
        <v>124</v>
      </c>
      <c r="AO4" s="98" t="s">
        <v>125</v>
      </c>
      <c r="AP4" s="13" t="s">
        <v>126</v>
      </c>
      <c r="AQ4" s="13" t="s">
        <v>127</v>
      </c>
      <c r="AR4" s="13" t="s">
        <v>128</v>
      </c>
      <c r="AS4" s="13" t="s">
        <v>98</v>
      </c>
      <c r="AT4" s="13" t="s">
        <v>99</v>
      </c>
      <c r="AU4" s="13" t="s">
        <v>100</v>
      </c>
      <c r="AV4" s="13" t="s">
        <v>101</v>
      </c>
      <c r="AW4" s="13" t="s">
        <v>102</v>
      </c>
      <c r="AX4" s="13" t="s">
        <v>103</v>
      </c>
      <c r="AY4" s="13" t="s">
        <v>104</v>
      </c>
      <c r="AZ4" s="13" t="s">
        <v>105</v>
      </c>
      <c r="BA4" s="13" t="s">
        <v>106</v>
      </c>
      <c r="BB4" s="13" t="s">
        <v>107</v>
      </c>
      <c r="BC4" s="13" t="s">
        <v>75</v>
      </c>
      <c r="BD4" s="13" t="s">
        <v>78</v>
      </c>
      <c r="BE4" s="13" t="s">
        <v>108</v>
      </c>
      <c r="BF4" s="37" t="s">
        <v>109</v>
      </c>
    </row>
    <row r="5" spans="1:58" ht="15" thickBot="1">
      <c r="A5" s="41"/>
      <c r="B5" s="42"/>
      <c r="C5" s="43"/>
      <c r="D5" s="43"/>
      <c r="E5" s="43"/>
      <c r="F5" s="44"/>
      <c r="G5" s="45" t="str">
        <f>IFERROR(HLOOKUP(G4,Reference!1:2,2,0),"")</f>
        <v/>
      </c>
      <c r="H5" s="46" t="str">
        <f>IFERROR(HLOOKUP(H4,Reference!1:2,2,0),"")</f>
        <v/>
      </c>
      <c r="I5" s="46" t="str">
        <f>IFERROR(HLOOKUP(I4,Reference!1:2,2,0),"")</f>
        <v/>
      </c>
      <c r="J5" s="46" t="str">
        <f>IFERROR(HLOOKUP(J4,Reference!1:2,2,0),"")</f>
        <v/>
      </c>
      <c r="K5" s="46" t="str">
        <f>IFERROR(HLOOKUP(K4,Reference!1:2,2,0),"")</f>
        <v/>
      </c>
      <c r="L5" s="46" t="str">
        <f>IFERROR(HLOOKUP(L4,Reference!1:2,2,0),"")</f>
        <v/>
      </c>
      <c r="M5" s="46" t="str">
        <f>IFERROR(HLOOKUP(M4,Reference!1:2,2,0),"")</f>
        <v/>
      </c>
      <c r="N5" s="46" t="str">
        <f>IFERROR(HLOOKUP(N4,Reference!1:2,2,0),"")</f>
        <v/>
      </c>
      <c r="O5" s="46" t="str">
        <f>IFERROR(HLOOKUP(O4,Reference!1:2,2,0),"")</f>
        <v/>
      </c>
      <c r="P5" s="46" t="str">
        <f>IFERROR(HLOOKUP(P4,Reference!1:2,2,0),"")</f>
        <v/>
      </c>
      <c r="Q5" s="46" t="str">
        <f>IFERROR(HLOOKUP(Q4,Reference!1:2,2,0),"")</f>
        <v/>
      </c>
      <c r="R5" s="46" t="str">
        <f>IFERROR(HLOOKUP(R4,Reference!1:2,2,0),"")</f>
        <v/>
      </c>
      <c r="S5" s="46" t="str">
        <f>IFERROR(HLOOKUP(S4,Reference!1:2,2,0),"")</f>
        <v/>
      </c>
      <c r="T5" s="46" t="str">
        <f>IFERROR(HLOOKUP(T4,Reference!1:2,2,0),"")</f>
        <v/>
      </c>
      <c r="U5" s="46" t="str">
        <f>IFERROR(HLOOKUP(U4,Reference!1:2,2,0),"")</f>
        <v/>
      </c>
      <c r="V5" s="46" t="str">
        <f>IFERROR(HLOOKUP(V4,Reference!1:2,2,0),"")</f>
        <v/>
      </c>
      <c r="W5" s="46" t="str">
        <f>IFERROR(HLOOKUP(W4,Reference!1:2,2,0),"")</f>
        <v/>
      </c>
      <c r="X5" s="46" t="str">
        <f>IFERROR(HLOOKUP(X4,Reference!1:2,2,0),"")</f>
        <v/>
      </c>
      <c r="Y5" s="46" t="str">
        <f>IFERROR(HLOOKUP(Y4,Reference!1:2,2,0),"")</f>
        <v/>
      </c>
      <c r="Z5" s="46" t="str">
        <f>IFERROR(HLOOKUP(Z4,Reference!1:2,2,0),"")</f>
        <v/>
      </c>
      <c r="AA5" s="46" t="str">
        <f>IFERROR(HLOOKUP(AA4,Reference!1:2,2,0),"")</f>
        <v/>
      </c>
      <c r="AB5" s="46" t="str">
        <f>IFERROR(HLOOKUP(AB4,Reference!1:2,2,0),"")</f>
        <v/>
      </c>
      <c r="AC5" s="46" t="str">
        <f>IFERROR(HLOOKUP(AC4,Reference!1:2,2,0),"")</f>
        <v/>
      </c>
      <c r="AD5" s="46" t="str">
        <f>IFERROR(HLOOKUP(AD4,Reference!1:2,2,0),"")</f>
        <v/>
      </c>
      <c r="AE5" s="46" t="str">
        <f>IFERROR(HLOOKUP(AE4,Reference!1:2,2,0),"")</f>
        <v/>
      </c>
      <c r="AF5" s="46" t="str">
        <f>IFERROR(HLOOKUP(AF4,Reference!1:2,2,0),"")</f>
        <v/>
      </c>
      <c r="AG5" s="46" t="str">
        <f>IFERROR(HLOOKUP(AG4,Reference!1:2,2,0),"")</f>
        <v/>
      </c>
      <c r="AH5" s="46" t="str">
        <f>IFERROR(HLOOKUP(AH4,Reference!1:2,2,0),"")</f>
        <v/>
      </c>
      <c r="AI5" s="46" t="str">
        <f>IFERROR(HLOOKUP(AI4,Reference!1:2,2,0),"")</f>
        <v/>
      </c>
      <c r="AJ5" s="46" t="str">
        <f>IFERROR(HLOOKUP(AJ4,Reference!1:2,2,0),"")</f>
        <v/>
      </c>
      <c r="AK5" s="46" t="str">
        <f>IFERROR(HLOOKUP(AK4,Reference!1:2,2,0),"")</f>
        <v/>
      </c>
      <c r="AL5" s="47" t="str">
        <f>IFERROR(HLOOKUP(AL4,Reference!1:2,2,0),"")</f>
        <v/>
      </c>
      <c r="AM5" s="48"/>
      <c r="AN5" s="43"/>
      <c r="AO5" s="99"/>
      <c r="AP5" s="43"/>
      <c r="AQ5" s="43"/>
      <c r="AR5" s="43"/>
      <c r="AS5" s="43"/>
      <c r="AT5" s="43"/>
      <c r="AU5" s="43"/>
      <c r="AV5" s="43"/>
      <c r="AW5" s="43"/>
      <c r="AX5" s="43"/>
      <c r="AY5" s="43"/>
      <c r="AZ5" s="43"/>
      <c r="BA5" s="43"/>
      <c r="BB5" s="43"/>
      <c r="BC5" s="43"/>
      <c r="BD5" s="49"/>
      <c r="BE5" s="43"/>
      <c r="BF5" s="44"/>
    </row>
    <row r="6" spans="1:58">
      <c r="A6" s="50">
        <v>0</v>
      </c>
      <c r="B6" s="51">
        <v>12345</v>
      </c>
      <c r="C6" s="110" t="s">
        <v>89</v>
      </c>
      <c r="D6" s="52">
        <v>105</v>
      </c>
      <c r="E6" s="110"/>
      <c r="F6" s="53"/>
      <c r="G6" s="54" t="s">
        <v>117</v>
      </c>
      <c r="H6" s="52" t="s">
        <v>117</v>
      </c>
      <c r="I6" s="52"/>
      <c r="J6" s="52" t="s">
        <v>118</v>
      </c>
      <c r="K6" s="52" t="s">
        <v>119</v>
      </c>
      <c r="L6" s="52" t="s">
        <v>129</v>
      </c>
      <c r="M6" s="52"/>
      <c r="N6" s="52" t="s">
        <v>130</v>
      </c>
      <c r="O6" s="52" t="s">
        <v>117</v>
      </c>
      <c r="P6" s="52" t="s">
        <v>117</v>
      </c>
      <c r="Q6" s="52"/>
      <c r="R6" s="52" t="s">
        <v>131</v>
      </c>
      <c r="S6" s="52" t="s">
        <v>117</v>
      </c>
      <c r="T6" s="52" t="s">
        <v>117</v>
      </c>
      <c r="U6" s="52"/>
      <c r="V6" s="52"/>
      <c r="W6" s="52" t="s">
        <v>117</v>
      </c>
      <c r="X6" s="52" t="s">
        <v>117</v>
      </c>
      <c r="Y6" s="52" t="s">
        <v>117</v>
      </c>
      <c r="Z6" s="52"/>
      <c r="AA6" s="52" t="s">
        <v>117</v>
      </c>
      <c r="AB6" s="52" t="s">
        <v>117</v>
      </c>
      <c r="AC6" s="52"/>
      <c r="AD6" s="52" t="s">
        <v>118</v>
      </c>
      <c r="AE6" s="52" t="s">
        <v>118</v>
      </c>
      <c r="AF6" s="52" t="s">
        <v>118</v>
      </c>
      <c r="AG6" s="52"/>
      <c r="AH6" s="52"/>
      <c r="AI6" s="52" t="s">
        <v>117</v>
      </c>
      <c r="AJ6" s="52"/>
      <c r="AK6" s="52"/>
      <c r="AL6" s="55"/>
      <c r="AM6" s="60">
        <f t="shared" ref="AM6" si="0">COUNTIFS(G6:AK6,"早12",$G$4:$AK$4,"&lt;="&amp;$D$2)*12</f>
        <v>48</v>
      </c>
      <c r="AN6" s="61">
        <f t="shared" ref="AN6:AN21" si="1">COUNTIFS(G6:AK6,"夜12",$G$4:$AK$4,"&lt;="&amp;$D$2)*12</f>
        <v>144</v>
      </c>
      <c r="AO6" s="100">
        <f t="shared" ref="AO6:AO21" si="2">COUNTIFS(G6:AK6,"日8",$G$4:$AK$4,"&lt;="&amp;$D$2)*8</f>
        <v>8</v>
      </c>
      <c r="AP6" s="100">
        <f>COUNTIFS(G6:AK6,"早8",$G$4:$AK$4,"&lt;="&amp;$D$2)*8</f>
        <v>8</v>
      </c>
      <c r="AQ6" s="61">
        <f>COUNTIFS(G6:AK6,"午8",$G$4:$AK$4,"&lt;="&amp;$D$2)*8</f>
        <v>8</v>
      </c>
      <c r="AR6" s="61">
        <f>COUNTIFS(G6:AK6,"夜8",$G$4:$AK$4,"&lt;="&amp;$D$2)*8</f>
        <v>8</v>
      </c>
      <c r="AS6" s="61" t="e">
        <f>COUNTIFS(G6:AK6,"早12",$G$4:$AK$4,"&lt;="&amp;$D$2,$G$5:$AK$5,"PH")*12+COUNTIFS(G6:AK6,"早8",$G$4:$AK$4,"&lt;="&amp;$D$2,$G$5:$AK$5,"PH")*8+COUNTIFS(G6:AK6,"日8",$G$4:$AK$4,"&lt;="&amp;$D$2,$G$5:$AK$5,"PH")*8+COUNTIFS(G6:AK6,"午8",$G$4:$AK$4,"&lt;="&amp;$D$2,$G$5:$AK$5,"PH")*8+COUNTIFS(G6:AK6,"夜12",$G$4:$AK$4,"&lt;="&amp;$D$2,$G$5:$AK$5,"PH")*4+COUNTIFS(G6:AK6,"夜8",$G$4:$AK$4,"&lt;="&amp;$D$2,$G$5:$AK$5,"PH")*1+
IF(AND(G6="夜12",$H$5="PH",$G$4&lt;=$D$2),8,0)+IF(AND(H6="夜12",$I$5="PH",$H$4&lt;=$D$2),8,0)+IF(AND(I6="夜12",$J$5="PH",$I$4&lt;=$D$2),8,0)+IF(AND(J6="夜12",$K$5="PH",$J$4&lt;=$D$2),8,0)+IF(AND(K6="夜12",$L$5="PH",$K$4&lt;=$D$2),8,0)+IF(AND(L6="夜12",$M$5="PH",$L$4&lt;=$D$2),8,0)+IF(AND(M6="夜12",$N$5="PH",$M$4&lt;=$D$2),8,0)+IF(AND(N6="夜12",$O$5="PH",$N$4&lt;=$D$2),8,0)+IF(AND(O6="夜12",$P$5="PH",$O$4&lt;=$D$2),8,0)+IF(AND(P6="夜12",$Q$5="PH",$P$4&lt;=$D$2),8,0)+IF(AND(Q6="夜12",$R$5="PH",$Q$4&lt;=$D$2),8,0)+IF(AND(R6="夜12",$S$5="PH",$R$4&lt;=$D$2),8,0)+IF(AND(S6="夜12",$T$5="PH",$S$4&lt;=$D$2),8,0)+IF(AND(T6="夜12",$U$5="PH",$T$4&lt;=$D$2),8,0)+IF(AND(U6="夜12",$V$5="PH",$U$4&lt;=$D$2),8,0)+IF(AND(V6="夜12",$W$5="PH",$V$4&lt;=$D$2),8,0)+IF(AND(W6="夜12",$X$5="PH",$W$4&lt;=$D$2),8,0)+IF(AND(X6="夜12",$Y$5="PH",$X$4&lt;=$D$2),8,0)+IF(AND(Y6="夜12",$Z$5="PH",$Y$4&lt;=$D$2),8,0)+IF(AND(Z6="夜12",$AA$5="PH",$Z$4&lt;=$D$2),8,0)+IF(AND(AA6="夜12",$AB$5="PH",$AA$4&lt;=$D$2),8,0)+IF(AND(AB6="夜12",$AC$5="PH",$AB$4&lt;=$D$2),8,0)+IF(AND(AC6="夜12",$AD$5="PH",$AC$4&lt;=$D$2),8,0)+IF(AND(AD6="夜12",$AE$5="PH",$AD$4&lt;=$D$2),8,0)+IF(AND(AE6="夜12",$AF$5="PH",$AE$4&lt;=$D$2),8,0)+IF(AND(AF6="夜12",$AG$5="PH",$AF$4&lt;=$D$2),8,0)+IF(AND(AG6="夜12",$AH$5="PH",$AG$4&lt;=$D$2),8,0)+IF(AND(AH6="夜12",$AI$5="PH",$AH$4&lt;=$D$2),8,0)+IF(AND(AI6="夜12",$AJ$5="PH",$AI$4&lt;=$D$2),8,0)+IF(AND(AJ6="夜12",$AK$5="PH",$AJ$4&lt;=$D$2),8,0)+IF(AND(AK6="夜12",$AL$5="PH",$AK$4&lt;=$D$2),8,0)+
IF(AND(G6="夜8",$H$5="PH",$G$4&lt;=$D$2),7,0)+IF(AND(H6="夜8",$I$5="PH",$H$4&lt;=$D$2),7,0)+IF(AND(I6="夜8",$J$5="PH",$I$4&lt;=$D$2),7,0)+IF(AND(J6="夜8",$K$5="PH",$J$4&lt;=$D$2),7,0)+IF(AND(K6="夜8",$L$5="PH",$K$4&lt;=$D$2),7,0)+IF(AND(L6="夜8",$M$5="PH",$L$4&lt;=$D$2),7,0)+IF(AND(M6="夜8",$N$5="PH",$M$4&lt;=$D$2),7,0)+IF(AND(N6="夜8",$O$5="PH",$N$4&lt;=$D$2),7,0)+IF(AND(O6="夜8",$P$5="PH",$O$4&lt;=$D$2),7,0)+IF(AND(P6="夜8",$Q$5="PH",$P$4&lt;=$D$2),7,0)+IF(AND(Q6="夜8",$R$5="PH",$Q$4&lt;=$D$2),7,0)+IF(AND(R6="夜8",$S$5="PH",$R$4&lt;=$D$2),7,0)+IF(AND(S6="夜8",$T$5="PH",$S$4&lt;=$D$2),7,0)+IF(AND(T6="夜8",$U$5="PH",$T$4&lt;=$D$2),7,0)+IF(AND(U6="夜8",$V$5="PH",$U$4&lt;=$D$2),7,0)+IF(AND(V6="夜8",$W$5="PH",$V$4&lt;=$D$2),7,0)+IF(AND(W6="夜8",$X$5="PH",$W$4&lt;=$D$2),7,0)+IF(AND(X6="夜8",$Y$5="PH",$X$4&lt;=$D$2),7,0)+IF(AND(Y6="夜8",$Z$5="PH",$Y$4&lt;=$D$2),7,0)+IF(AND(Z6="夜8",$AA$5="PH",$Z$4&lt;=$D$2),7,0)+IF(AND(AA6="夜8",$AB$5="PH",$AA$4&lt;=$D$2),7,0)+IF(AND(AB6="夜8",$AC$5="PH",$AB$4&lt;=$D$2),7,0)+IF(AND(AC6="夜8",$AD$5="PH",$AC$4&lt;=$D$2),7,0)+IF(AND(AD6="夜8",$AE$5="PH",$AD$4&lt;=$D$2),7,0)+IF(AND(AE6="夜8",$AF$5="PH",$AE$4&lt;=$D$2),7,0)+IF(AND(AF6="夜8",$AG$5="PH",$AF$4&lt;=$D$2),7,0)+IF(AND(AG6="夜8",$AH$5="PH",$AG$4&lt;=$D$2),7,0)+IF(AND(AH6="夜8",$AI$5="PH",$AH$4&lt;=$D$2),7,0)+IF(AND(AI6="夜8",$AJ$5="PH",$AI$4&lt;=$D$2),7,0)+IF(AND(AJ6="夜8",$AK$5="PH",$AJ$4&lt;=$D$2),7,0)+IF(AND(AK6="夜8",$AL$5="PH",$AK$4&lt;=$D$2),7,0)</f>
        <v>#VALUE!</v>
      </c>
      <c r="AT6" s="52"/>
      <c r="AU6" s="52"/>
      <c r="AV6" s="101" t="e">
        <f>SUM(AM6:AR6)-AS6+AT6</f>
        <v>#VALUE!</v>
      </c>
      <c r="AW6" s="57" t="e">
        <f t="shared" ref="AW6" si="3">AV6/8</f>
        <v>#VALUE!</v>
      </c>
      <c r="AX6" s="57" t="e">
        <f t="shared" ref="AX6:AX36" si="4">NETWORKDAYS($C$2,$D$2)</f>
        <v>#VALUE!</v>
      </c>
      <c r="AY6" s="57" t="e">
        <f t="shared" ref="AY6" si="5">ROUND(IF(AW6&gt;=AX6,AX6,AW6)*D6,2)</f>
        <v>#VALUE!</v>
      </c>
      <c r="AZ6" s="57" t="e">
        <f t="shared" ref="AZ6" si="6">ROUND(IF((AW6-AX6)*1.5*D6&lt;0,0,(AW6-AX6)*1.5*D6),2)</f>
        <v>#VALUE!</v>
      </c>
      <c r="BA6" s="57" t="e">
        <f t="shared" ref="BA6" si="7">ROUND(D6/8*(AS6+AU6)*3,2)</f>
        <v>#VALUE!</v>
      </c>
      <c r="BB6" s="101">
        <f>COUNTIFS(G6:AK6,"早12",$G$4:$AK$4,"&lt;="&amp;$D$2)*50+COUNTIFS(G6:AK6,"夜12",$G$4:$AK$4,"&lt;="&amp;$D$2)*50+COUNTIFS(G6:AK6,"早8",$G$4:$AK$4,"&lt;="&amp;$D$2)*50+COUNTIFS(G6:AK6,"午8",$G$4:$AK$4,"&lt;="&amp;$D$2)*50+COUNTIFS(G6:AK6,"夜8",$G$4:$AK$4,"&lt;="&amp;$D$2)*50</f>
        <v>950</v>
      </c>
      <c r="BC6" s="52">
        <v>500</v>
      </c>
      <c r="BD6" s="58" t="e">
        <f t="shared" ref="BD6" si="8">SUM(AY6:BC6)</f>
        <v>#VALUE!</v>
      </c>
      <c r="BE6" s="52"/>
      <c r="BF6" s="116" t="s">
        <v>58</v>
      </c>
    </row>
    <row r="7" spans="1:58">
      <c r="A7" s="59">
        <v>1</v>
      </c>
      <c r="B7" s="103"/>
      <c r="C7" s="104"/>
      <c r="D7" s="105"/>
      <c r="E7" s="104"/>
      <c r="F7" s="106"/>
      <c r="G7" s="108"/>
      <c r="H7" s="105"/>
      <c r="I7" s="105"/>
      <c r="J7" s="105"/>
      <c r="K7" s="105"/>
      <c r="L7" s="105"/>
      <c r="M7" s="105"/>
      <c r="N7" s="105"/>
      <c r="O7" s="105"/>
      <c r="P7" s="105"/>
      <c r="Q7" s="105"/>
      <c r="R7" s="105"/>
      <c r="S7" s="105"/>
      <c r="T7" s="105"/>
      <c r="U7" s="105"/>
      <c r="V7" s="105"/>
      <c r="W7" s="105"/>
      <c r="X7" s="105"/>
      <c r="Y7" s="105"/>
      <c r="Z7" s="105"/>
      <c r="AA7" s="105"/>
      <c r="AB7" s="105"/>
      <c r="AC7" s="105"/>
      <c r="AD7" s="105"/>
      <c r="AE7" s="105"/>
      <c r="AF7" s="105"/>
      <c r="AG7" s="105"/>
      <c r="AH7" s="105"/>
      <c r="AI7" s="105"/>
      <c r="AJ7" s="105"/>
      <c r="AK7" s="105"/>
      <c r="AL7" s="97"/>
      <c r="AM7" s="60">
        <f>COUNTIFS(G7:AK7,"早12",$G$4:$AK$4,"&lt;="&amp;$D$2)*12</f>
        <v>0</v>
      </c>
      <c r="AN7" s="61">
        <f t="shared" si="1"/>
        <v>0</v>
      </c>
      <c r="AO7" s="100">
        <f t="shared" si="2"/>
        <v>0</v>
      </c>
      <c r="AP7" s="100">
        <f t="shared" ref="AP7:AP21" si="9">COUNTIFS(G7:AK7,"早8",$G$4:$AK$4,"&lt;="&amp;$D$2)*8</f>
        <v>0</v>
      </c>
      <c r="AQ7" s="61">
        <f t="shared" ref="AQ7:AQ21" si="10">COUNTIFS(G7:AK7,"午8",$G$4:$AK$4,"&lt;="&amp;$D$2)*8</f>
        <v>0</v>
      </c>
      <c r="AR7" s="61">
        <f t="shared" ref="AR7:AR21" si="11">COUNTIFS(G7:AK7,"夜8",$G$4:$AK$4,"&lt;="&amp;$D$2)*8</f>
        <v>0</v>
      </c>
      <c r="AS7" s="61" t="e">
        <f t="shared" ref="AS7:AS21" si="12">COUNTIFS(G7:AK7,"早12",$G$4:$AK$4,"&lt;="&amp;$D$2,$G$5:$AK$5,"PH")*12+COUNTIFS(G7:AK7,"早8",$G$4:$AK$4,"&lt;="&amp;$D$2,$G$5:$AK$5,"PH")*8+COUNTIFS(G7:AK7,"日8",$G$4:$AK$4,"&lt;="&amp;$D$2,$G$5:$AK$5,"PH")*8+COUNTIFS(G7:AK7,"午8",$G$4:$AK$4,"&lt;="&amp;$D$2,$G$5:$AK$5,"PH")*8+COUNTIFS(G7:AK7,"夜12",$G$4:$AK$4,"&lt;="&amp;$D$2,$G$5:$AK$5,"PH")*4+COUNTIFS(G7:AK7,"夜8",$G$4:$AK$4,"&lt;="&amp;$D$2,$G$5:$AK$5,"PH")*1+
IF(AND(G7="夜12",$H$5="PH",$G$4&lt;=$D$2),8,0)+IF(AND(H7="夜12",$I$5="PH",$H$4&lt;=$D$2),8,0)+IF(AND(I7="夜12",$J$5="PH",$I$4&lt;=$D$2),8,0)+IF(AND(J7="夜12",$K$5="PH",$J$4&lt;=$D$2),8,0)+IF(AND(K7="夜12",$L$5="PH",$K$4&lt;=$D$2),8,0)+IF(AND(L7="夜12",$M$5="PH",$L$4&lt;=$D$2),8,0)+IF(AND(M7="夜12",$N$5="PH",$M$4&lt;=$D$2),8,0)+IF(AND(N7="夜12",$O$5="PH",$N$4&lt;=$D$2),8,0)+IF(AND(O7="夜12",$P$5="PH",$O$4&lt;=$D$2),8,0)+IF(AND(P7="夜12",$Q$5="PH",$P$4&lt;=$D$2),8,0)+IF(AND(Q7="夜12",$R$5="PH",$Q$4&lt;=$D$2),8,0)+IF(AND(R7="夜12",$S$5="PH",$R$4&lt;=$D$2),8,0)+IF(AND(S7="夜12",$T$5="PH",$S$4&lt;=$D$2),8,0)+IF(AND(T7="夜12",$U$5="PH",$T$4&lt;=$D$2),8,0)+IF(AND(U7="夜12",$V$5="PH",$U$4&lt;=$D$2),8,0)+IF(AND(V7="夜12",$W$5="PH",$V$4&lt;=$D$2),8,0)+IF(AND(W7="夜12",$X$5="PH",$W$4&lt;=$D$2),8,0)+IF(AND(X7="夜12",$Y$5="PH",$X$4&lt;=$D$2),8,0)+IF(AND(Y7="夜12",$Z$5="PH",$Y$4&lt;=$D$2),8,0)+IF(AND(Z7="夜12",$AA$5="PH",$Z$4&lt;=$D$2),8,0)+IF(AND(AA7="夜12",$AB$5="PH",$AA$4&lt;=$D$2),8,0)+IF(AND(AB7="夜12",$AC$5="PH",$AB$4&lt;=$D$2),8,0)+IF(AND(AC7="夜12",$AD$5="PH",$AC$4&lt;=$D$2),8,0)+IF(AND(AD7="夜12",$AE$5="PH",$AD$4&lt;=$D$2),8,0)+IF(AND(AE7="夜12",$AF$5="PH",$AE$4&lt;=$D$2),8,0)+IF(AND(AF7="夜12",$AG$5="PH",$AF$4&lt;=$D$2),8,0)+IF(AND(AG7="夜12",$AH$5="PH",$AG$4&lt;=$D$2),8,0)+IF(AND(AH7="夜12",$AI$5="PH",$AH$4&lt;=$D$2),8,0)+IF(AND(AI7="夜12",$AJ$5="PH",$AI$4&lt;=$D$2),8,0)+IF(AND(AJ7="夜12",$AK$5="PH",$AJ$4&lt;=$D$2),8,0)+IF(AND(AK7="夜12",$AL$5="PH",$AK$4&lt;=$D$2),8,0)+
IF(AND(G7="夜8",$H$5="PH",$G$4&lt;=$D$2),7,0)+IF(AND(H7="夜8",$I$5="PH",$H$4&lt;=$D$2),7,0)+IF(AND(I7="夜8",$J$5="PH",$I$4&lt;=$D$2),7,0)+IF(AND(J7="夜8",$K$5="PH",$J$4&lt;=$D$2),7,0)+IF(AND(K7="夜8",$L$5="PH",$K$4&lt;=$D$2),7,0)+IF(AND(L7="夜8",$M$5="PH",$L$4&lt;=$D$2),7,0)+IF(AND(M7="夜8",$N$5="PH",$M$4&lt;=$D$2),7,0)+IF(AND(N7="夜8",$O$5="PH",$N$4&lt;=$D$2),7,0)+IF(AND(O7="夜8",$P$5="PH",$O$4&lt;=$D$2),7,0)+IF(AND(P7="夜8",$Q$5="PH",$P$4&lt;=$D$2),7,0)+IF(AND(Q7="夜8",$R$5="PH",$Q$4&lt;=$D$2),7,0)+IF(AND(R7="夜8",$S$5="PH",$R$4&lt;=$D$2),7,0)+IF(AND(S7="夜8",$T$5="PH",$S$4&lt;=$D$2),7,0)+IF(AND(T7="夜8",$U$5="PH",$T$4&lt;=$D$2),7,0)+IF(AND(U7="夜8",$V$5="PH",$U$4&lt;=$D$2),7,0)+IF(AND(V7="夜8",$W$5="PH",$V$4&lt;=$D$2),7,0)+IF(AND(W7="夜8",$X$5="PH",$W$4&lt;=$D$2),7,0)+IF(AND(X7="夜8",$Y$5="PH",$X$4&lt;=$D$2),7,0)+IF(AND(Y7="夜8",$Z$5="PH",$Y$4&lt;=$D$2),7,0)+IF(AND(Z7="夜8",$AA$5="PH",$Z$4&lt;=$D$2),7,0)+IF(AND(AA7="夜8",$AB$5="PH",$AA$4&lt;=$D$2),7,0)+IF(AND(AB7="夜8",$AC$5="PH",$AB$4&lt;=$D$2),7,0)+IF(AND(AC7="夜8",$AD$5="PH",$AC$4&lt;=$D$2),7,0)+IF(AND(AD7="夜8",$AE$5="PH",$AD$4&lt;=$D$2),7,0)+IF(AND(AE7="夜8",$AF$5="PH",$AE$4&lt;=$D$2),7,0)+IF(AND(AF7="夜8",$AG$5="PH",$AF$4&lt;=$D$2),7,0)+IF(AND(AG7="夜8",$AH$5="PH",$AG$4&lt;=$D$2),7,0)+IF(AND(AH7="夜8",$AI$5="PH",$AH$4&lt;=$D$2),7,0)+IF(AND(AI7="夜8",$AJ$5="PH",$AI$4&lt;=$D$2),7,0)+IF(AND(AJ7="夜8",$AK$5="PH",$AJ$4&lt;=$D$2),7,0)+IF(AND(AK7="夜8",$AL$5="PH",$AK$4&lt;=$D$2),7,0)</f>
        <v>#VALUE!</v>
      </c>
      <c r="AT7" s="105"/>
      <c r="AU7" s="105"/>
      <c r="AV7" s="61" t="e">
        <f t="shared" ref="AV7:AV21" si="13">SUM(AM7:AR7)-AS7+AT7</f>
        <v>#VALUE!</v>
      </c>
      <c r="AW7" s="61" t="e">
        <f t="shared" ref="AW7:AW21" si="14">AV7/8</f>
        <v>#VALUE!</v>
      </c>
      <c r="AX7" s="61" t="e">
        <f t="shared" si="4"/>
        <v>#VALUE!</v>
      </c>
      <c r="AY7" s="61" t="e">
        <f t="shared" ref="AY7:AY21" si="15">ROUND(IF(AW7&gt;=AX7,AX7,AW7)*D7,2)</f>
        <v>#VALUE!</v>
      </c>
      <c r="AZ7" s="61" t="e">
        <f t="shared" ref="AZ7:AZ21" si="16">ROUND(IF((AW7-AX7)*1.5*D7&lt;0,0,(AW7-AX7)*1.5*D7),2)</f>
        <v>#VALUE!</v>
      </c>
      <c r="BA7" s="61" t="e">
        <f t="shared" ref="BA7:BA21" si="17">ROUND(D7/8*(AS7+AU7)*3,2)</f>
        <v>#VALUE!</v>
      </c>
      <c r="BB7" s="61">
        <f t="shared" ref="BB7:BB21" si="18">COUNTIFS(G7:AK7,"早12",$G$4:$AK$4,"&lt;="&amp;$D$2)*50+COUNTIFS(G7:AK7,"夜12",$G$4:$AK$4,"&lt;="&amp;$D$2)*50+COUNTIFS(G7:AK7,"早8",$G$4:$AK$4,"&lt;="&amp;$D$2)*50+COUNTIFS(G7:AK7,"午8",$G$4:$AK$4,"&lt;="&amp;$D$2)*50+COUNTIFS(G7:AK7,"夜8",$G$4:$AK$4,"&lt;="&amp;$D$2)*50</f>
        <v>0</v>
      </c>
      <c r="BC7" s="105"/>
      <c r="BD7" s="62" t="e">
        <f t="shared" ref="BD7:BD21" si="19">SUM(AY7:BC7)</f>
        <v>#VALUE!</v>
      </c>
      <c r="BE7" s="105"/>
      <c r="BF7" s="117" t="s">
        <v>58</v>
      </c>
    </row>
    <row r="8" spans="1:58">
      <c r="A8" s="59">
        <v>2</v>
      </c>
      <c r="B8" s="103"/>
      <c r="C8" s="104"/>
      <c r="D8" s="105"/>
      <c r="E8" s="104"/>
      <c r="F8" s="106"/>
      <c r="G8" s="107"/>
      <c r="H8" s="105"/>
      <c r="I8" s="105"/>
      <c r="J8" s="105"/>
      <c r="K8" s="105"/>
      <c r="L8" s="105"/>
      <c r="M8" s="105"/>
      <c r="N8" s="105"/>
      <c r="O8" s="105"/>
      <c r="P8" s="105"/>
      <c r="Q8" s="105"/>
      <c r="R8" s="105"/>
      <c r="S8" s="105"/>
      <c r="T8" s="105"/>
      <c r="U8" s="105"/>
      <c r="V8" s="105"/>
      <c r="W8" s="105"/>
      <c r="X8" s="105"/>
      <c r="Y8" s="105"/>
      <c r="Z8" s="105"/>
      <c r="AA8" s="105"/>
      <c r="AB8" s="105"/>
      <c r="AC8" s="105"/>
      <c r="AD8" s="105"/>
      <c r="AE8" s="105"/>
      <c r="AF8" s="105"/>
      <c r="AG8" s="105"/>
      <c r="AH8" s="105"/>
      <c r="AI8" s="105"/>
      <c r="AJ8" s="105"/>
      <c r="AK8" s="105"/>
      <c r="AL8" s="97"/>
      <c r="AM8" s="60">
        <f t="shared" ref="AM8:AM21" si="20">COUNTIFS(G8:AK8,"早12",$G$4:$AK$4,"&lt;="&amp;$D$2)*12</f>
        <v>0</v>
      </c>
      <c r="AN8" s="61">
        <f t="shared" si="1"/>
        <v>0</v>
      </c>
      <c r="AO8" s="100">
        <f t="shared" si="2"/>
        <v>0</v>
      </c>
      <c r="AP8" s="100">
        <f t="shared" si="9"/>
        <v>0</v>
      </c>
      <c r="AQ8" s="61">
        <f t="shared" si="10"/>
        <v>0</v>
      </c>
      <c r="AR8" s="61">
        <f t="shared" si="11"/>
        <v>0</v>
      </c>
      <c r="AS8" s="61" t="e">
        <f t="shared" si="12"/>
        <v>#VALUE!</v>
      </c>
      <c r="AT8" s="105"/>
      <c r="AU8" s="105"/>
      <c r="AV8" s="61" t="e">
        <f t="shared" si="13"/>
        <v>#VALUE!</v>
      </c>
      <c r="AW8" s="61" t="e">
        <f t="shared" si="14"/>
        <v>#VALUE!</v>
      </c>
      <c r="AX8" s="61" t="e">
        <f t="shared" si="4"/>
        <v>#VALUE!</v>
      </c>
      <c r="AY8" s="61" t="e">
        <f t="shared" si="15"/>
        <v>#VALUE!</v>
      </c>
      <c r="AZ8" s="61" t="e">
        <f t="shared" si="16"/>
        <v>#VALUE!</v>
      </c>
      <c r="BA8" s="61" t="e">
        <f t="shared" si="17"/>
        <v>#VALUE!</v>
      </c>
      <c r="BB8" s="61">
        <f t="shared" si="18"/>
        <v>0</v>
      </c>
      <c r="BC8" s="105"/>
      <c r="BD8" s="62" t="e">
        <f t="shared" si="19"/>
        <v>#VALUE!</v>
      </c>
      <c r="BE8" s="105"/>
      <c r="BF8" s="117" t="s">
        <v>58</v>
      </c>
    </row>
    <row r="9" spans="1:58">
      <c r="A9" s="59">
        <v>3</v>
      </c>
      <c r="B9" s="103"/>
      <c r="C9" s="104"/>
      <c r="D9" s="105"/>
      <c r="E9" s="104"/>
      <c r="F9" s="106"/>
      <c r="G9" s="107"/>
      <c r="H9" s="105"/>
      <c r="I9" s="105"/>
      <c r="J9" s="105"/>
      <c r="K9" s="105"/>
      <c r="L9" s="105"/>
      <c r="M9" s="105"/>
      <c r="N9" s="105"/>
      <c r="O9" s="105"/>
      <c r="P9" s="105"/>
      <c r="Q9" s="105"/>
      <c r="R9" s="105"/>
      <c r="S9" s="105"/>
      <c r="T9" s="105"/>
      <c r="U9" s="105"/>
      <c r="V9" s="105"/>
      <c r="W9" s="105"/>
      <c r="X9" s="105"/>
      <c r="Y9" s="105"/>
      <c r="Z9" s="105"/>
      <c r="AA9" s="105"/>
      <c r="AB9" s="105"/>
      <c r="AC9" s="105"/>
      <c r="AD9" s="105"/>
      <c r="AE9" s="105"/>
      <c r="AF9" s="105"/>
      <c r="AG9" s="105"/>
      <c r="AH9" s="105"/>
      <c r="AI9" s="105"/>
      <c r="AJ9" s="105"/>
      <c r="AK9" s="105"/>
      <c r="AL9" s="97"/>
      <c r="AM9" s="60">
        <f t="shared" si="20"/>
        <v>0</v>
      </c>
      <c r="AN9" s="61">
        <f t="shared" si="1"/>
        <v>0</v>
      </c>
      <c r="AO9" s="100">
        <f t="shared" si="2"/>
        <v>0</v>
      </c>
      <c r="AP9" s="100">
        <f t="shared" si="9"/>
        <v>0</v>
      </c>
      <c r="AQ9" s="61">
        <f t="shared" si="10"/>
        <v>0</v>
      </c>
      <c r="AR9" s="61">
        <f t="shared" si="11"/>
        <v>0</v>
      </c>
      <c r="AS9" s="61" t="e">
        <f t="shared" si="12"/>
        <v>#VALUE!</v>
      </c>
      <c r="AT9" s="105"/>
      <c r="AU9" s="105"/>
      <c r="AV9" s="61" t="e">
        <f t="shared" si="13"/>
        <v>#VALUE!</v>
      </c>
      <c r="AW9" s="61" t="e">
        <f t="shared" si="14"/>
        <v>#VALUE!</v>
      </c>
      <c r="AX9" s="61" t="e">
        <f t="shared" si="4"/>
        <v>#VALUE!</v>
      </c>
      <c r="AY9" s="61" t="e">
        <f t="shared" si="15"/>
        <v>#VALUE!</v>
      </c>
      <c r="AZ9" s="61" t="e">
        <f t="shared" si="16"/>
        <v>#VALUE!</v>
      </c>
      <c r="BA9" s="61" t="e">
        <f t="shared" si="17"/>
        <v>#VALUE!</v>
      </c>
      <c r="BB9" s="61">
        <f t="shared" si="18"/>
        <v>0</v>
      </c>
      <c r="BC9" s="105"/>
      <c r="BD9" s="62" t="e">
        <f t="shared" si="19"/>
        <v>#VALUE!</v>
      </c>
      <c r="BE9" s="105"/>
      <c r="BF9" s="117" t="s">
        <v>58</v>
      </c>
    </row>
    <row r="10" spans="1:58">
      <c r="A10" s="59">
        <v>4</v>
      </c>
      <c r="B10" s="103"/>
      <c r="C10" s="104"/>
      <c r="D10" s="105"/>
      <c r="E10" s="104"/>
      <c r="F10" s="106"/>
      <c r="G10" s="105"/>
      <c r="H10" s="105"/>
      <c r="I10" s="109"/>
      <c r="J10" s="109"/>
      <c r="K10" s="105"/>
      <c r="L10" s="105"/>
      <c r="M10" s="105"/>
      <c r="N10" s="105"/>
      <c r="O10" s="105"/>
      <c r="P10" s="105"/>
      <c r="Q10" s="105"/>
      <c r="R10" s="105"/>
      <c r="S10" s="105"/>
      <c r="T10" s="105"/>
      <c r="U10" s="105"/>
      <c r="V10" s="105"/>
      <c r="W10" s="105"/>
      <c r="X10" s="105"/>
      <c r="Y10" s="109"/>
      <c r="Z10" s="105"/>
      <c r="AA10" s="105"/>
      <c r="AB10" s="105"/>
      <c r="AC10" s="105"/>
      <c r="AD10" s="109"/>
      <c r="AE10" s="105"/>
      <c r="AF10" s="105"/>
      <c r="AG10" s="105"/>
      <c r="AH10" s="105"/>
      <c r="AI10" s="105"/>
      <c r="AJ10" s="105"/>
      <c r="AK10" s="105"/>
      <c r="AL10" s="97"/>
      <c r="AM10" s="60">
        <f t="shared" si="20"/>
        <v>0</v>
      </c>
      <c r="AN10" s="61">
        <f t="shared" si="1"/>
        <v>0</v>
      </c>
      <c r="AO10" s="100">
        <f t="shared" si="2"/>
        <v>0</v>
      </c>
      <c r="AP10" s="100">
        <f t="shared" si="9"/>
        <v>0</v>
      </c>
      <c r="AQ10" s="61">
        <f t="shared" si="10"/>
        <v>0</v>
      </c>
      <c r="AR10" s="61">
        <f t="shared" si="11"/>
        <v>0</v>
      </c>
      <c r="AS10" s="61" t="e">
        <f t="shared" si="12"/>
        <v>#VALUE!</v>
      </c>
      <c r="AT10" s="105"/>
      <c r="AU10" s="105"/>
      <c r="AV10" s="61" t="e">
        <f t="shared" si="13"/>
        <v>#VALUE!</v>
      </c>
      <c r="AW10" s="61" t="e">
        <f t="shared" si="14"/>
        <v>#VALUE!</v>
      </c>
      <c r="AX10" s="61" t="e">
        <f t="shared" si="4"/>
        <v>#VALUE!</v>
      </c>
      <c r="AY10" s="61" t="e">
        <f t="shared" si="15"/>
        <v>#VALUE!</v>
      </c>
      <c r="AZ10" s="61" t="e">
        <f t="shared" si="16"/>
        <v>#VALUE!</v>
      </c>
      <c r="BA10" s="61" t="e">
        <f t="shared" si="17"/>
        <v>#VALUE!</v>
      </c>
      <c r="BB10" s="61">
        <f t="shared" si="18"/>
        <v>0</v>
      </c>
      <c r="BC10" s="105"/>
      <c r="BD10" s="62" t="e">
        <f t="shared" si="19"/>
        <v>#VALUE!</v>
      </c>
      <c r="BE10" s="105"/>
      <c r="BF10" s="117" t="s">
        <v>58</v>
      </c>
    </row>
    <row r="11" spans="1:58">
      <c r="A11" s="59">
        <v>5</v>
      </c>
      <c r="B11" s="103"/>
      <c r="C11" s="104"/>
      <c r="D11" s="105"/>
      <c r="E11" s="104"/>
      <c r="F11" s="106"/>
      <c r="G11" s="107"/>
      <c r="H11" s="105"/>
      <c r="I11" s="105"/>
      <c r="J11" s="105"/>
      <c r="K11" s="105"/>
      <c r="L11" s="105"/>
      <c r="M11" s="105"/>
      <c r="N11" s="105"/>
      <c r="O11" s="105"/>
      <c r="P11" s="105"/>
      <c r="Q11" s="105"/>
      <c r="R11" s="105"/>
      <c r="S11" s="105"/>
      <c r="T11" s="105"/>
      <c r="U11" s="105"/>
      <c r="V11" s="105"/>
      <c r="W11" s="105"/>
      <c r="X11" s="105"/>
      <c r="Y11" s="105"/>
      <c r="Z11" s="105"/>
      <c r="AA11" s="105"/>
      <c r="AB11" s="105"/>
      <c r="AC11" s="105"/>
      <c r="AD11" s="105"/>
      <c r="AE11" s="105"/>
      <c r="AF11" s="105"/>
      <c r="AG11" s="105"/>
      <c r="AH11" s="105"/>
      <c r="AI11" s="105"/>
      <c r="AJ11" s="105"/>
      <c r="AK11" s="105"/>
      <c r="AL11" s="97"/>
      <c r="AM11" s="60">
        <f t="shared" si="20"/>
        <v>0</v>
      </c>
      <c r="AN11" s="61">
        <f t="shared" si="1"/>
        <v>0</v>
      </c>
      <c r="AO11" s="100">
        <f t="shared" si="2"/>
        <v>0</v>
      </c>
      <c r="AP11" s="100">
        <f t="shared" si="9"/>
        <v>0</v>
      </c>
      <c r="AQ11" s="61">
        <f t="shared" si="10"/>
        <v>0</v>
      </c>
      <c r="AR11" s="61">
        <f t="shared" si="11"/>
        <v>0</v>
      </c>
      <c r="AS11" s="61" t="e">
        <f t="shared" si="12"/>
        <v>#VALUE!</v>
      </c>
      <c r="AT11" s="105"/>
      <c r="AU11" s="105"/>
      <c r="AV11" s="61" t="e">
        <f t="shared" si="13"/>
        <v>#VALUE!</v>
      </c>
      <c r="AW11" s="61" t="e">
        <f t="shared" si="14"/>
        <v>#VALUE!</v>
      </c>
      <c r="AX11" s="61" t="e">
        <f t="shared" si="4"/>
        <v>#VALUE!</v>
      </c>
      <c r="AY11" s="61" t="e">
        <f t="shared" si="15"/>
        <v>#VALUE!</v>
      </c>
      <c r="AZ11" s="61" t="e">
        <f t="shared" si="16"/>
        <v>#VALUE!</v>
      </c>
      <c r="BA11" s="61" t="e">
        <f t="shared" si="17"/>
        <v>#VALUE!</v>
      </c>
      <c r="BB11" s="61">
        <f t="shared" si="18"/>
        <v>0</v>
      </c>
      <c r="BC11" s="105"/>
      <c r="BD11" s="62" t="e">
        <f t="shared" si="19"/>
        <v>#VALUE!</v>
      </c>
      <c r="BE11" s="105"/>
      <c r="BF11" s="117" t="s">
        <v>58</v>
      </c>
    </row>
    <row r="12" spans="1:58">
      <c r="A12" s="59">
        <v>6</v>
      </c>
      <c r="B12" s="103"/>
      <c r="C12" s="104"/>
      <c r="D12" s="105"/>
      <c r="E12" s="104"/>
      <c r="F12" s="106"/>
      <c r="G12" s="107"/>
      <c r="H12" s="105"/>
      <c r="I12" s="105"/>
      <c r="J12" s="105"/>
      <c r="K12" s="105"/>
      <c r="L12" s="105"/>
      <c r="M12" s="105"/>
      <c r="N12" s="105"/>
      <c r="O12" s="105"/>
      <c r="P12" s="105"/>
      <c r="Q12" s="105"/>
      <c r="R12" s="105"/>
      <c r="S12" s="105"/>
      <c r="T12" s="105"/>
      <c r="U12" s="105"/>
      <c r="V12" s="105"/>
      <c r="W12" s="105"/>
      <c r="X12" s="105"/>
      <c r="Y12" s="105"/>
      <c r="Z12" s="105"/>
      <c r="AA12" s="105"/>
      <c r="AB12" s="105"/>
      <c r="AC12" s="105"/>
      <c r="AD12" s="105"/>
      <c r="AE12" s="105"/>
      <c r="AF12" s="105"/>
      <c r="AG12" s="105"/>
      <c r="AH12" s="105"/>
      <c r="AI12" s="105"/>
      <c r="AJ12" s="105"/>
      <c r="AK12" s="105"/>
      <c r="AL12" s="97"/>
      <c r="AM12" s="60">
        <f t="shared" si="20"/>
        <v>0</v>
      </c>
      <c r="AN12" s="61">
        <f t="shared" si="1"/>
        <v>0</v>
      </c>
      <c r="AO12" s="100">
        <f t="shared" si="2"/>
        <v>0</v>
      </c>
      <c r="AP12" s="100">
        <f t="shared" si="9"/>
        <v>0</v>
      </c>
      <c r="AQ12" s="61">
        <f t="shared" si="10"/>
        <v>0</v>
      </c>
      <c r="AR12" s="61">
        <f t="shared" si="11"/>
        <v>0</v>
      </c>
      <c r="AS12" s="61" t="e">
        <f t="shared" si="12"/>
        <v>#VALUE!</v>
      </c>
      <c r="AT12" s="105"/>
      <c r="AU12" s="105"/>
      <c r="AV12" s="61" t="e">
        <f t="shared" si="13"/>
        <v>#VALUE!</v>
      </c>
      <c r="AW12" s="61" t="e">
        <f t="shared" si="14"/>
        <v>#VALUE!</v>
      </c>
      <c r="AX12" s="61" t="e">
        <f t="shared" si="4"/>
        <v>#VALUE!</v>
      </c>
      <c r="AY12" s="61" t="e">
        <f t="shared" si="15"/>
        <v>#VALUE!</v>
      </c>
      <c r="AZ12" s="61" t="e">
        <f t="shared" si="16"/>
        <v>#VALUE!</v>
      </c>
      <c r="BA12" s="61" t="e">
        <f t="shared" si="17"/>
        <v>#VALUE!</v>
      </c>
      <c r="BB12" s="61">
        <f t="shared" si="18"/>
        <v>0</v>
      </c>
      <c r="BC12" s="105"/>
      <c r="BD12" s="62" t="e">
        <f t="shared" si="19"/>
        <v>#VALUE!</v>
      </c>
      <c r="BE12" s="105"/>
      <c r="BF12" s="117" t="s">
        <v>58</v>
      </c>
    </row>
    <row r="13" spans="1:58">
      <c r="A13" s="59">
        <v>7</v>
      </c>
      <c r="B13" s="103"/>
      <c r="C13" s="104"/>
      <c r="D13" s="105"/>
      <c r="E13" s="104"/>
      <c r="F13" s="106"/>
      <c r="G13" s="107"/>
      <c r="H13" s="105"/>
      <c r="I13" s="105"/>
      <c r="J13" s="105"/>
      <c r="K13" s="105"/>
      <c r="L13" s="105"/>
      <c r="M13" s="105"/>
      <c r="N13" s="105"/>
      <c r="O13" s="105"/>
      <c r="P13" s="105"/>
      <c r="Q13" s="105"/>
      <c r="R13" s="105"/>
      <c r="S13" s="105"/>
      <c r="T13" s="105"/>
      <c r="U13" s="105"/>
      <c r="V13" s="105"/>
      <c r="W13" s="105"/>
      <c r="X13" s="105"/>
      <c r="Y13" s="105"/>
      <c r="Z13" s="105"/>
      <c r="AA13" s="105"/>
      <c r="AB13" s="105"/>
      <c r="AC13" s="105"/>
      <c r="AD13" s="105"/>
      <c r="AE13" s="105"/>
      <c r="AF13" s="105"/>
      <c r="AG13" s="105"/>
      <c r="AH13" s="105"/>
      <c r="AI13" s="105"/>
      <c r="AJ13" s="105"/>
      <c r="AK13" s="105"/>
      <c r="AL13" s="97"/>
      <c r="AM13" s="60">
        <f t="shared" si="20"/>
        <v>0</v>
      </c>
      <c r="AN13" s="61">
        <f t="shared" si="1"/>
        <v>0</v>
      </c>
      <c r="AO13" s="100">
        <f t="shared" si="2"/>
        <v>0</v>
      </c>
      <c r="AP13" s="100">
        <f t="shared" si="9"/>
        <v>0</v>
      </c>
      <c r="AQ13" s="61">
        <f t="shared" si="10"/>
        <v>0</v>
      </c>
      <c r="AR13" s="61">
        <f t="shared" si="11"/>
        <v>0</v>
      </c>
      <c r="AS13" s="61" t="e">
        <f t="shared" si="12"/>
        <v>#VALUE!</v>
      </c>
      <c r="AT13" s="105"/>
      <c r="AU13" s="105"/>
      <c r="AV13" s="61" t="e">
        <f t="shared" si="13"/>
        <v>#VALUE!</v>
      </c>
      <c r="AW13" s="61" t="e">
        <f t="shared" si="14"/>
        <v>#VALUE!</v>
      </c>
      <c r="AX13" s="61" t="e">
        <f t="shared" si="4"/>
        <v>#VALUE!</v>
      </c>
      <c r="AY13" s="61" t="e">
        <f t="shared" si="15"/>
        <v>#VALUE!</v>
      </c>
      <c r="AZ13" s="61" t="e">
        <f t="shared" si="16"/>
        <v>#VALUE!</v>
      </c>
      <c r="BA13" s="61" t="e">
        <f t="shared" si="17"/>
        <v>#VALUE!</v>
      </c>
      <c r="BB13" s="61">
        <f t="shared" si="18"/>
        <v>0</v>
      </c>
      <c r="BC13" s="105"/>
      <c r="BD13" s="62" t="e">
        <f t="shared" si="19"/>
        <v>#VALUE!</v>
      </c>
      <c r="BE13" s="105"/>
      <c r="BF13" s="117" t="s">
        <v>58</v>
      </c>
    </row>
    <row r="14" spans="1:58">
      <c r="A14" s="59">
        <v>8</v>
      </c>
      <c r="B14" s="103"/>
      <c r="C14" s="104"/>
      <c r="D14" s="105"/>
      <c r="E14" s="104"/>
      <c r="F14" s="106"/>
      <c r="G14" s="107"/>
      <c r="H14" s="105"/>
      <c r="I14" s="105"/>
      <c r="J14" s="105"/>
      <c r="K14" s="105"/>
      <c r="L14" s="105"/>
      <c r="M14" s="105"/>
      <c r="N14" s="105"/>
      <c r="O14" s="105"/>
      <c r="P14" s="105"/>
      <c r="Q14" s="105"/>
      <c r="R14" s="105"/>
      <c r="S14" s="105"/>
      <c r="T14" s="105"/>
      <c r="U14" s="105"/>
      <c r="V14" s="105"/>
      <c r="W14" s="105"/>
      <c r="X14" s="105"/>
      <c r="Y14" s="105"/>
      <c r="Z14" s="105"/>
      <c r="AA14" s="105"/>
      <c r="AB14" s="105"/>
      <c r="AC14" s="105"/>
      <c r="AD14" s="105"/>
      <c r="AE14" s="105"/>
      <c r="AF14" s="105"/>
      <c r="AG14" s="105"/>
      <c r="AH14" s="105"/>
      <c r="AI14" s="105"/>
      <c r="AJ14" s="105"/>
      <c r="AK14" s="105"/>
      <c r="AL14" s="97"/>
      <c r="AM14" s="60">
        <f t="shared" si="20"/>
        <v>0</v>
      </c>
      <c r="AN14" s="61">
        <f t="shared" si="1"/>
        <v>0</v>
      </c>
      <c r="AO14" s="100">
        <f t="shared" si="2"/>
        <v>0</v>
      </c>
      <c r="AP14" s="100">
        <f t="shared" si="9"/>
        <v>0</v>
      </c>
      <c r="AQ14" s="61">
        <f t="shared" si="10"/>
        <v>0</v>
      </c>
      <c r="AR14" s="61">
        <f t="shared" si="11"/>
        <v>0</v>
      </c>
      <c r="AS14" s="61" t="e">
        <f t="shared" si="12"/>
        <v>#VALUE!</v>
      </c>
      <c r="AT14" s="105"/>
      <c r="AU14" s="105"/>
      <c r="AV14" s="61" t="e">
        <f t="shared" si="13"/>
        <v>#VALUE!</v>
      </c>
      <c r="AW14" s="61" t="e">
        <f t="shared" si="14"/>
        <v>#VALUE!</v>
      </c>
      <c r="AX14" s="61" t="e">
        <f t="shared" si="4"/>
        <v>#VALUE!</v>
      </c>
      <c r="AY14" s="61" t="e">
        <f t="shared" si="15"/>
        <v>#VALUE!</v>
      </c>
      <c r="AZ14" s="61" t="e">
        <f t="shared" si="16"/>
        <v>#VALUE!</v>
      </c>
      <c r="BA14" s="61" t="e">
        <f t="shared" si="17"/>
        <v>#VALUE!</v>
      </c>
      <c r="BB14" s="61">
        <f t="shared" si="18"/>
        <v>0</v>
      </c>
      <c r="BC14" s="105"/>
      <c r="BD14" s="62" t="e">
        <f t="shared" si="19"/>
        <v>#VALUE!</v>
      </c>
      <c r="BE14" s="105"/>
      <c r="BF14" s="117" t="s">
        <v>58</v>
      </c>
    </row>
    <row r="15" spans="1:58">
      <c r="A15" s="59">
        <v>9</v>
      </c>
      <c r="B15" s="103"/>
      <c r="C15" s="104"/>
      <c r="D15" s="105"/>
      <c r="E15" s="104"/>
      <c r="F15" s="106"/>
      <c r="G15" s="107"/>
      <c r="H15" s="105"/>
      <c r="I15" s="105"/>
      <c r="J15" s="105"/>
      <c r="K15" s="105"/>
      <c r="L15" s="105"/>
      <c r="M15" s="105"/>
      <c r="N15" s="105"/>
      <c r="O15" s="105"/>
      <c r="P15" s="105"/>
      <c r="Q15" s="105"/>
      <c r="R15" s="105"/>
      <c r="S15" s="105"/>
      <c r="T15" s="105"/>
      <c r="U15" s="105"/>
      <c r="V15" s="105"/>
      <c r="W15" s="105"/>
      <c r="X15" s="105"/>
      <c r="Y15" s="105"/>
      <c r="Z15" s="105"/>
      <c r="AA15" s="105"/>
      <c r="AB15" s="105"/>
      <c r="AC15" s="105"/>
      <c r="AD15" s="105"/>
      <c r="AE15" s="105"/>
      <c r="AF15" s="105"/>
      <c r="AG15" s="105"/>
      <c r="AH15" s="105"/>
      <c r="AI15" s="105"/>
      <c r="AJ15" s="105"/>
      <c r="AK15" s="105"/>
      <c r="AL15" s="97"/>
      <c r="AM15" s="60">
        <f t="shared" si="20"/>
        <v>0</v>
      </c>
      <c r="AN15" s="61">
        <f t="shared" si="1"/>
        <v>0</v>
      </c>
      <c r="AO15" s="100">
        <f t="shared" si="2"/>
        <v>0</v>
      </c>
      <c r="AP15" s="100">
        <f t="shared" si="9"/>
        <v>0</v>
      </c>
      <c r="AQ15" s="61">
        <f t="shared" si="10"/>
        <v>0</v>
      </c>
      <c r="AR15" s="61">
        <f t="shared" si="11"/>
        <v>0</v>
      </c>
      <c r="AS15" s="61" t="e">
        <f t="shared" si="12"/>
        <v>#VALUE!</v>
      </c>
      <c r="AT15" s="105"/>
      <c r="AU15" s="105"/>
      <c r="AV15" s="61" t="e">
        <f t="shared" si="13"/>
        <v>#VALUE!</v>
      </c>
      <c r="AW15" s="61" t="e">
        <f t="shared" si="14"/>
        <v>#VALUE!</v>
      </c>
      <c r="AX15" s="61" t="e">
        <f t="shared" si="4"/>
        <v>#VALUE!</v>
      </c>
      <c r="AY15" s="61" t="e">
        <f t="shared" si="15"/>
        <v>#VALUE!</v>
      </c>
      <c r="AZ15" s="61" t="e">
        <f t="shared" si="16"/>
        <v>#VALUE!</v>
      </c>
      <c r="BA15" s="61" t="e">
        <f t="shared" si="17"/>
        <v>#VALUE!</v>
      </c>
      <c r="BB15" s="61">
        <f t="shared" si="18"/>
        <v>0</v>
      </c>
      <c r="BC15" s="105"/>
      <c r="BD15" s="62" t="e">
        <f t="shared" si="19"/>
        <v>#VALUE!</v>
      </c>
      <c r="BE15" s="105"/>
      <c r="BF15" s="117" t="s">
        <v>58</v>
      </c>
    </row>
    <row r="16" spans="1:58">
      <c r="A16" s="59">
        <v>10</v>
      </c>
      <c r="B16" s="103"/>
      <c r="C16" s="104"/>
      <c r="D16" s="105"/>
      <c r="E16" s="104"/>
      <c r="F16" s="106"/>
      <c r="G16" s="107"/>
      <c r="H16" s="105"/>
      <c r="I16" s="105"/>
      <c r="J16" s="105"/>
      <c r="K16" s="105"/>
      <c r="L16" s="105"/>
      <c r="M16" s="105"/>
      <c r="N16" s="105"/>
      <c r="O16" s="105"/>
      <c r="P16" s="105"/>
      <c r="Q16" s="105"/>
      <c r="R16" s="105"/>
      <c r="S16" s="105"/>
      <c r="T16" s="105"/>
      <c r="U16" s="105"/>
      <c r="V16" s="105"/>
      <c r="W16" s="105"/>
      <c r="X16" s="105"/>
      <c r="Y16" s="105"/>
      <c r="Z16" s="105"/>
      <c r="AA16" s="105"/>
      <c r="AB16" s="105"/>
      <c r="AC16" s="105"/>
      <c r="AD16" s="105"/>
      <c r="AE16" s="105"/>
      <c r="AF16" s="105"/>
      <c r="AG16" s="105"/>
      <c r="AH16" s="105"/>
      <c r="AI16" s="105"/>
      <c r="AJ16" s="105"/>
      <c r="AK16" s="105"/>
      <c r="AL16" s="97"/>
      <c r="AM16" s="60">
        <f t="shared" si="20"/>
        <v>0</v>
      </c>
      <c r="AN16" s="61">
        <f t="shared" si="1"/>
        <v>0</v>
      </c>
      <c r="AO16" s="100">
        <f t="shared" si="2"/>
        <v>0</v>
      </c>
      <c r="AP16" s="100">
        <f t="shared" si="9"/>
        <v>0</v>
      </c>
      <c r="AQ16" s="61">
        <f t="shared" si="10"/>
        <v>0</v>
      </c>
      <c r="AR16" s="61">
        <f t="shared" si="11"/>
        <v>0</v>
      </c>
      <c r="AS16" s="61" t="e">
        <f t="shared" si="12"/>
        <v>#VALUE!</v>
      </c>
      <c r="AT16" s="105"/>
      <c r="AU16" s="105"/>
      <c r="AV16" s="61" t="e">
        <f t="shared" si="13"/>
        <v>#VALUE!</v>
      </c>
      <c r="AW16" s="61" t="e">
        <f t="shared" si="14"/>
        <v>#VALUE!</v>
      </c>
      <c r="AX16" s="61" t="e">
        <f t="shared" si="4"/>
        <v>#VALUE!</v>
      </c>
      <c r="AY16" s="61" t="e">
        <f t="shared" si="15"/>
        <v>#VALUE!</v>
      </c>
      <c r="AZ16" s="61" t="e">
        <f t="shared" si="16"/>
        <v>#VALUE!</v>
      </c>
      <c r="BA16" s="61" t="e">
        <f t="shared" si="17"/>
        <v>#VALUE!</v>
      </c>
      <c r="BB16" s="61">
        <f t="shared" si="18"/>
        <v>0</v>
      </c>
      <c r="BC16" s="105"/>
      <c r="BD16" s="62" t="e">
        <f t="shared" si="19"/>
        <v>#VALUE!</v>
      </c>
      <c r="BE16" s="105"/>
      <c r="BF16" s="117" t="s">
        <v>58</v>
      </c>
    </row>
    <row r="17" spans="1:58">
      <c r="A17" s="59">
        <v>11</v>
      </c>
      <c r="B17" s="103"/>
      <c r="C17" s="104"/>
      <c r="D17" s="105"/>
      <c r="E17" s="104"/>
      <c r="F17" s="106"/>
      <c r="G17" s="107"/>
      <c r="H17" s="105"/>
      <c r="I17" s="105"/>
      <c r="J17" s="105"/>
      <c r="K17" s="105"/>
      <c r="L17" s="105"/>
      <c r="M17" s="105"/>
      <c r="N17" s="105"/>
      <c r="O17" s="105"/>
      <c r="P17" s="105"/>
      <c r="Q17" s="105"/>
      <c r="R17" s="105"/>
      <c r="S17" s="105"/>
      <c r="T17" s="105"/>
      <c r="U17" s="105"/>
      <c r="V17" s="105"/>
      <c r="W17" s="105"/>
      <c r="X17" s="105"/>
      <c r="Y17" s="105"/>
      <c r="Z17" s="105"/>
      <c r="AA17" s="105"/>
      <c r="AB17" s="105"/>
      <c r="AC17" s="105"/>
      <c r="AD17" s="105"/>
      <c r="AE17" s="105"/>
      <c r="AF17" s="105"/>
      <c r="AG17" s="105"/>
      <c r="AH17" s="105"/>
      <c r="AI17" s="105"/>
      <c r="AJ17" s="105"/>
      <c r="AK17" s="105"/>
      <c r="AL17" s="97"/>
      <c r="AM17" s="60">
        <f t="shared" si="20"/>
        <v>0</v>
      </c>
      <c r="AN17" s="61">
        <f t="shared" si="1"/>
        <v>0</v>
      </c>
      <c r="AO17" s="100">
        <f t="shared" si="2"/>
        <v>0</v>
      </c>
      <c r="AP17" s="100">
        <f t="shared" si="9"/>
        <v>0</v>
      </c>
      <c r="AQ17" s="61">
        <f t="shared" si="10"/>
        <v>0</v>
      </c>
      <c r="AR17" s="61">
        <f t="shared" si="11"/>
        <v>0</v>
      </c>
      <c r="AS17" s="61" t="e">
        <f t="shared" si="12"/>
        <v>#VALUE!</v>
      </c>
      <c r="AT17" s="105"/>
      <c r="AU17" s="105"/>
      <c r="AV17" s="61" t="e">
        <f t="shared" si="13"/>
        <v>#VALUE!</v>
      </c>
      <c r="AW17" s="61" t="e">
        <f t="shared" si="14"/>
        <v>#VALUE!</v>
      </c>
      <c r="AX17" s="61" t="e">
        <f t="shared" si="4"/>
        <v>#VALUE!</v>
      </c>
      <c r="AY17" s="61" t="e">
        <f t="shared" si="15"/>
        <v>#VALUE!</v>
      </c>
      <c r="AZ17" s="61" t="e">
        <f t="shared" si="16"/>
        <v>#VALUE!</v>
      </c>
      <c r="BA17" s="61" t="e">
        <f t="shared" si="17"/>
        <v>#VALUE!</v>
      </c>
      <c r="BB17" s="61">
        <f t="shared" si="18"/>
        <v>0</v>
      </c>
      <c r="BC17" s="105"/>
      <c r="BD17" s="62" t="e">
        <f t="shared" si="19"/>
        <v>#VALUE!</v>
      </c>
      <c r="BE17" s="105"/>
      <c r="BF17" s="117" t="s">
        <v>58</v>
      </c>
    </row>
    <row r="18" spans="1:58">
      <c r="A18" s="59">
        <v>12</v>
      </c>
      <c r="B18" s="103"/>
      <c r="C18" s="104"/>
      <c r="D18" s="105"/>
      <c r="E18" s="104"/>
      <c r="F18" s="106"/>
      <c r="G18" s="107"/>
      <c r="H18" s="105"/>
      <c r="I18" s="105"/>
      <c r="J18" s="105"/>
      <c r="K18" s="105"/>
      <c r="L18" s="105"/>
      <c r="M18" s="105"/>
      <c r="N18" s="105"/>
      <c r="O18" s="105"/>
      <c r="P18" s="105"/>
      <c r="Q18" s="105"/>
      <c r="R18" s="105"/>
      <c r="S18" s="105"/>
      <c r="T18" s="105"/>
      <c r="U18" s="105"/>
      <c r="V18" s="105"/>
      <c r="W18" s="105"/>
      <c r="X18" s="105"/>
      <c r="Y18" s="105"/>
      <c r="Z18" s="105"/>
      <c r="AA18" s="105"/>
      <c r="AB18" s="105"/>
      <c r="AC18" s="105"/>
      <c r="AD18" s="105"/>
      <c r="AE18" s="105"/>
      <c r="AF18" s="105"/>
      <c r="AG18" s="105"/>
      <c r="AH18" s="105"/>
      <c r="AI18" s="105"/>
      <c r="AJ18" s="105"/>
      <c r="AK18" s="105"/>
      <c r="AL18" s="97"/>
      <c r="AM18" s="60">
        <f t="shared" si="20"/>
        <v>0</v>
      </c>
      <c r="AN18" s="61">
        <f t="shared" si="1"/>
        <v>0</v>
      </c>
      <c r="AO18" s="100">
        <f t="shared" si="2"/>
        <v>0</v>
      </c>
      <c r="AP18" s="100">
        <f t="shared" si="9"/>
        <v>0</v>
      </c>
      <c r="AQ18" s="61">
        <f t="shared" si="10"/>
        <v>0</v>
      </c>
      <c r="AR18" s="61">
        <f t="shared" si="11"/>
        <v>0</v>
      </c>
      <c r="AS18" s="61" t="e">
        <f t="shared" si="12"/>
        <v>#VALUE!</v>
      </c>
      <c r="AT18" s="105"/>
      <c r="AU18" s="105"/>
      <c r="AV18" s="61" t="e">
        <f t="shared" si="13"/>
        <v>#VALUE!</v>
      </c>
      <c r="AW18" s="61" t="e">
        <f t="shared" si="14"/>
        <v>#VALUE!</v>
      </c>
      <c r="AX18" s="61" t="e">
        <f t="shared" si="4"/>
        <v>#VALUE!</v>
      </c>
      <c r="AY18" s="61" t="e">
        <f t="shared" si="15"/>
        <v>#VALUE!</v>
      </c>
      <c r="AZ18" s="61" t="e">
        <f t="shared" si="16"/>
        <v>#VALUE!</v>
      </c>
      <c r="BA18" s="61" t="e">
        <f t="shared" si="17"/>
        <v>#VALUE!</v>
      </c>
      <c r="BB18" s="61">
        <f t="shared" si="18"/>
        <v>0</v>
      </c>
      <c r="BC18" s="105"/>
      <c r="BD18" s="62" t="e">
        <f t="shared" si="19"/>
        <v>#VALUE!</v>
      </c>
      <c r="BE18" s="105"/>
      <c r="BF18" s="117" t="s">
        <v>58</v>
      </c>
    </row>
    <row r="19" spans="1:58">
      <c r="A19" s="59">
        <v>13</v>
      </c>
      <c r="B19" s="103"/>
      <c r="C19" s="104"/>
      <c r="D19" s="105"/>
      <c r="E19" s="104"/>
      <c r="F19" s="106"/>
      <c r="G19" s="107"/>
      <c r="H19" s="105"/>
      <c r="I19" s="105"/>
      <c r="J19" s="105"/>
      <c r="K19" s="105"/>
      <c r="L19" s="105"/>
      <c r="M19" s="105"/>
      <c r="N19" s="105"/>
      <c r="O19" s="105"/>
      <c r="P19" s="105"/>
      <c r="Q19" s="105"/>
      <c r="R19" s="105"/>
      <c r="S19" s="105"/>
      <c r="T19" s="105"/>
      <c r="U19" s="105"/>
      <c r="V19" s="105"/>
      <c r="W19" s="105"/>
      <c r="X19" s="105"/>
      <c r="Y19" s="105"/>
      <c r="Z19" s="105"/>
      <c r="AA19" s="105"/>
      <c r="AB19" s="105"/>
      <c r="AC19" s="105"/>
      <c r="AD19" s="105"/>
      <c r="AE19" s="105"/>
      <c r="AF19" s="105"/>
      <c r="AG19" s="105"/>
      <c r="AH19" s="105"/>
      <c r="AI19" s="105"/>
      <c r="AJ19" s="105"/>
      <c r="AK19" s="105"/>
      <c r="AL19" s="97"/>
      <c r="AM19" s="60">
        <f t="shared" si="20"/>
        <v>0</v>
      </c>
      <c r="AN19" s="61">
        <f t="shared" si="1"/>
        <v>0</v>
      </c>
      <c r="AO19" s="100">
        <f t="shared" si="2"/>
        <v>0</v>
      </c>
      <c r="AP19" s="100">
        <f t="shared" si="9"/>
        <v>0</v>
      </c>
      <c r="AQ19" s="61">
        <f t="shared" si="10"/>
        <v>0</v>
      </c>
      <c r="AR19" s="61">
        <f t="shared" si="11"/>
        <v>0</v>
      </c>
      <c r="AS19" s="61" t="e">
        <f t="shared" si="12"/>
        <v>#VALUE!</v>
      </c>
      <c r="AT19" s="105"/>
      <c r="AU19" s="105"/>
      <c r="AV19" s="61" t="e">
        <f t="shared" si="13"/>
        <v>#VALUE!</v>
      </c>
      <c r="AW19" s="61" t="e">
        <f t="shared" si="14"/>
        <v>#VALUE!</v>
      </c>
      <c r="AX19" s="61" t="e">
        <f t="shared" si="4"/>
        <v>#VALUE!</v>
      </c>
      <c r="AY19" s="61" t="e">
        <f t="shared" si="15"/>
        <v>#VALUE!</v>
      </c>
      <c r="AZ19" s="61" t="e">
        <f t="shared" si="16"/>
        <v>#VALUE!</v>
      </c>
      <c r="BA19" s="61" t="e">
        <f t="shared" si="17"/>
        <v>#VALUE!</v>
      </c>
      <c r="BB19" s="61">
        <f t="shared" si="18"/>
        <v>0</v>
      </c>
      <c r="BC19" s="105"/>
      <c r="BD19" s="62" t="e">
        <f t="shared" si="19"/>
        <v>#VALUE!</v>
      </c>
      <c r="BE19" s="105"/>
      <c r="BF19" s="117" t="s">
        <v>58</v>
      </c>
    </row>
    <row r="20" spans="1:58">
      <c r="A20" s="59">
        <v>14</v>
      </c>
      <c r="B20" s="103"/>
      <c r="C20" s="104"/>
      <c r="D20" s="105"/>
      <c r="E20" s="104"/>
      <c r="F20" s="106"/>
      <c r="G20" s="107"/>
      <c r="H20" s="105"/>
      <c r="I20" s="105"/>
      <c r="J20" s="105"/>
      <c r="K20" s="105"/>
      <c r="L20" s="105"/>
      <c r="M20" s="105"/>
      <c r="N20" s="105"/>
      <c r="O20" s="105"/>
      <c r="P20" s="105"/>
      <c r="Q20" s="105"/>
      <c r="R20" s="105"/>
      <c r="S20" s="105"/>
      <c r="T20" s="105"/>
      <c r="U20" s="105"/>
      <c r="V20" s="105"/>
      <c r="W20" s="105"/>
      <c r="X20" s="105"/>
      <c r="Y20" s="105"/>
      <c r="Z20" s="105"/>
      <c r="AA20" s="105"/>
      <c r="AB20" s="105"/>
      <c r="AC20" s="105"/>
      <c r="AD20" s="105"/>
      <c r="AE20" s="105"/>
      <c r="AF20" s="105"/>
      <c r="AG20" s="105"/>
      <c r="AH20" s="105"/>
      <c r="AI20" s="105"/>
      <c r="AJ20" s="105"/>
      <c r="AK20" s="105"/>
      <c r="AL20" s="97"/>
      <c r="AM20" s="60">
        <f t="shared" si="20"/>
        <v>0</v>
      </c>
      <c r="AN20" s="61">
        <f t="shared" si="1"/>
        <v>0</v>
      </c>
      <c r="AO20" s="100">
        <f t="shared" si="2"/>
        <v>0</v>
      </c>
      <c r="AP20" s="100">
        <f t="shared" si="9"/>
        <v>0</v>
      </c>
      <c r="AQ20" s="61">
        <f t="shared" si="10"/>
        <v>0</v>
      </c>
      <c r="AR20" s="61">
        <f t="shared" si="11"/>
        <v>0</v>
      </c>
      <c r="AS20" s="61" t="e">
        <f t="shared" si="12"/>
        <v>#VALUE!</v>
      </c>
      <c r="AT20" s="105"/>
      <c r="AU20" s="105"/>
      <c r="AV20" s="61" t="e">
        <f t="shared" si="13"/>
        <v>#VALUE!</v>
      </c>
      <c r="AW20" s="61" t="e">
        <f t="shared" si="14"/>
        <v>#VALUE!</v>
      </c>
      <c r="AX20" s="61" t="e">
        <f t="shared" si="4"/>
        <v>#VALUE!</v>
      </c>
      <c r="AY20" s="61" t="e">
        <f t="shared" si="15"/>
        <v>#VALUE!</v>
      </c>
      <c r="AZ20" s="61" t="e">
        <f t="shared" si="16"/>
        <v>#VALUE!</v>
      </c>
      <c r="BA20" s="61" t="e">
        <f t="shared" si="17"/>
        <v>#VALUE!</v>
      </c>
      <c r="BB20" s="61">
        <f t="shared" si="18"/>
        <v>0</v>
      </c>
      <c r="BC20" s="105"/>
      <c r="BD20" s="62" t="e">
        <f t="shared" si="19"/>
        <v>#VALUE!</v>
      </c>
      <c r="BE20" s="105"/>
      <c r="BF20" s="117" t="s">
        <v>58</v>
      </c>
    </row>
    <row r="21" spans="1:58">
      <c r="A21" s="59">
        <v>15</v>
      </c>
      <c r="B21" s="103"/>
      <c r="C21" s="104"/>
      <c r="D21" s="105"/>
      <c r="E21" s="104"/>
      <c r="F21" s="106"/>
      <c r="G21" s="107"/>
      <c r="H21" s="105"/>
      <c r="I21" s="105"/>
      <c r="J21" s="105"/>
      <c r="K21" s="105"/>
      <c r="L21" s="105"/>
      <c r="M21" s="105"/>
      <c r="N21" s="105"/>
      <c r="O21" s="105"/>
      <c r="P21" s="105"/>
      <c r="Q21" s="105"/>
      <c r="R21" s="105"/>
      <c r="S21" s="105"/>
      <c r="T21" s="105"/>
      <c r="U21" s="105"/>
      <c r="V21" s="105"/>
      <c r="W21" s="105"/>
      <c r="X21" s="105"/>
      <c r="Y21" s="105"/>
      <c r="Z21" s="105"/>
      <c r="AA21" s="105"/>
      <c r="AB21" s="105"/>
      <c r="AC21" s="105"/>
      <c r="AD21" s="105"/>
      <c r="AE21" s="105"/>
      <c r="AF21" s="105"/>
      <c r="AG21" s="105"/>
      <c r="AH21" s="105"/>
      <c r="AI21" s="105"/>
      <c r="AJ21" s="105"/>
      <c r="AK21" s="105"/>
      <c r="AL21" s="97"/>
      <c r="AM21" s="60">
        <f t="shared" si="20"/>
        <v>0</v>
      </c>
      <c r="AN21" s="61">
        <f t="shared" si="1"/>
        <v>0</v>
      </c>
      <c r="AO21" s="100">
        <f t="shared" si="2"/>
        <v>0</v>
      </c>
      <c r="AP21" s="100">
        <f t="shared" si="9"/>
        <v>0</v>
      </c>
      <c r="AQ21" s="61">
        <f t="shared" si="10"/>
        <v>0</v>
      </c>
      <c r="AR21" s="61">
        <f t="shared" si="11"/>
        <v>0</v>
      </c>
      <c r="AS21" s="61" t="e">
        <f t="shared" si="12"/>
        <v>#VALUE!</v>
      </c>
      <c r="AT21" s="105"/>
      <c r="AU21" s="105"/>
      <c r="AV21" s="61" t="e">
        <f t="shared" si="13"/>
        <v>#VALUE!</v>
      </c>
      <c r="AW21" s="61" t="e">
        <f t="shared" si="14"/>
        <v>#VALUE!</v>
      </c>
      <c r="AX21" s="61" t="e">
        <f t="shared" si="4"/>
        <v>#VALUE!</v>
      </c>
      <c r="AY21" s="61" t="e">
        <f t="shared" si="15"/>
        <v>#VALUE!</v>
      </c>
      <c r="AZ21" s="61" t="e">
        <f t="shared" si="16"/>
        <v>#VALUE!</v>
      </c>
      <c r="BA21" s="61" t="e">
        <f t="shared" si="17"/>
        <v>#VALUE!</v>
      </c>
      <c r="BB21" s="61">
        <f t="shared" si="18"/>
        <v>0</v>
      </c>
      <c r="BC21" s="105"/>
      <c r="BD21" s="62" t="e">
        <f t="shared" si="19"/>
        <v>#VALUE!</v>
      </c>
      <c r="BE21" s="105"/>
      <c r="BF21" s="117" t="s">
        <v>58</v>
      </c>
    </row>
    <row r="22" spans="1:58">
      <c r="A22" s="59">
        <v>16</v>
      </c>
      <c r="B22" s="103"/>
      <c r="C22" s="104"/>
      <c r="D22" s="105"/>
      <c r="E22" s="104"/>
      <c r="F22" s="106"/>
      <c r="G22" s="107"/>
      <c r="H22" s="105"/>
      <c r="I22" s="105"/>
      <c r="J22" s="105"/>
      <c r="K22" s="105"/>
      <c r="L22" s="105"/>
      <c r="M22" s="105"/>
      <c r="N22" s="105"/>
      <c r="O22" s="105"/>
      <c r="P22" s="105"/>
      <c r="Q22" s="105"/>
      <c r="R22" s="105"/>
      <c r="S22" s="105"/>
      <c r="T22" s="105"/>
      <c r="U22" s="105"/>
      <c r="V22" s="105"/>
      <c r="W22" s="105"/>
      <c r="X22" s="105"/>
      <c r="Y22" s="105"/>
      <c r="Z22" s="105"/>
      <c r="AA22" s="105"/>
      <c r="AB22" s="105"/>
      <c r="AC22" s="105"/>
      <c r="AD22" s="105"/>
      <c r="AE22" s="105"/>
      <c r="AF22" s="105"/>
      <c r="AG22" s="105"/>
      <c r="AH22" s="105"/>
      <c r="AI22" s="105"/>
      <c r="AJ22" s="105"/>
      <c r="AK22" s="105"/>
      <c r="AL22" s="97"/>
      <c r="AM22" s="60">
        <f t="shared" ref="AM22:AM36" si="21">COUNTIFS(G22:AK22,"早12",$G$4:$AK$4,"&lt;="&amp;$D$2)*12</f>
        <v>0</v>
      </c>
      <c r="AN22" s="61">
        <f t="shared" ref="AN22:AN36" si="22">COUNTIFS(G22:AK22,"夜12",$G$4:$AK$4,"&lt;="&amp;$D$2)*12</f>
        <v>0</v>
      </c>
      <c r="AO22" s="100">
        <f t="shared" ref="AO22:AO36" si="23">COUNTIFS(G22:AK22,"日8",$G$4:$AK$4,"&lt;="&amp;$D$2)*8</f>
        <v>0</v>
      </c>
      <c r="AP22" s="100">
        <f t="shared" ref="AP22:AP36" si="24">COUNTIFS(G22:AK22,"早8",$G$4:$AK$4,"&lt;="&amp;$D$2)*8</f>
        <v>0</v>
      </c>
      <c r="AQ22" s="61">
        <f t="shared" ref="AQ22:AQ36" si="25">COUNTIFS(G22:AK22,"午8",$G$4:$AK$4,"&lt;="&amp;$D$2)*8</f>
        <v>0</v>
      </c>
      <c r="AR22" s="61">
        <f t="shared" ref="AR22:AR36" si="26">COUNTIFS(G22:AK22,"夜8",$G$4:$AK$4,"&lt;="&amp;$D$2)*8</f>
        <v>0</v>
      </c>
      <c r="AS22" s="61" t="e">
        <f t="shared" ref="AS22:AS36" si="27">COUNTIFS(G22:AK22,"早12",$G$4:$AK$4,"&lt;="&amp;$D$2,$G$5:$AK$5,"PH")*12+COUNTIFS(G22:AK22,"早8",$G$4:$AK$4,"&lt;="&amp;$D$2,$G$5:$AK$5,"PH")*8+COUNTIFS(G22:AK22,"日8",$G$4:$AK$4,"&lt;="&amp;$D$2,$G$5:$AK$5,"PH")*8+COUNTIFS(G22:AK22,"午8",$G$4:$AK$4,"&lt;="&amp;$D$2,$G$5:$AK$5,"PH")*8+COUNTIFS(G22:AK22,"夜12",$G$4:$AK$4,"&lt;="&amp;$D$2,$G$5:$AK$5,"PH")*4+COUNTIFS(G22:AK22,"夜8",$G$4:$AK$4,"&lt;="&amp;$D$2,$G$5:$AK$5,"PH")*1+
IF(AND(G22="夜12",$H$5="PH",$G$4&lt;=$D$2),8,0)+IF(AND(H22="夜12",$I$5="PH",$H$4&lt;=$D$2),8,0)+IF(AND(I22="夜12",$J$5="PH",$I$4&lt;=$D$2),8,0)+IF(AND(J22="夜12",$K$5="PH",$J$4&lt;=$D$2),8,0)+IF(AND(K22="夜12",$L$5="PH",$K$4&lt;=$D$2),8,0)+IF(AND(L22="夜12",$M$5="PH",$L$4&lt;=$D$2),8,0)+IF(AND(M22="夜12",$N$5="PH",$M$4&lt;=$D$2),8,0)+IF(AND(N22="夜12",$O$5="PH",$N$4&lt;=$D$2),8,0)+IF(AND(O22="夜12",$P$5="PH",$O$4&lt;=$D$2),8,0)+IF(AND(P22="夜12",$Q$5="PH",$P$4&lt;=$D$2),8,0)+IF(AND(Q22="夜12",$R$5="PH",$Q$4&lt;=$D$2),8,0)+IF(AND(R22="夜12",$S$5="PH",$R$4&lt;=$D$2),8,0)+IF(AND(S22="夜12",$T$5="PH",$S$4&lt;=$D$2),8,0)+IF(AND(T22="夜12",$U$5="PH",$T$4&lt;=$D$2),8,0)+IF(AND(U22="夜12",$V$5="PH",$U$4&lt;=$D$2),8,0)+IF(AND(V22="夜12",$W$5="PH",$V$4&lt;=$D$2),8,0)+IF(AND(W22="夜12",$X$5="PH",$W$4&lt;=$D$2),8,0)+IF(AND(X22="夜12",$Y$5="PH",$X$4&lt;=$D$2),8,0)+IF(AND(Y22="夜12",$Z$5="PH",$Y$4&lt;=$D$2),8,0)+IF(AND(Z22="夜12",$AA$5="PH",$Z$4&lt;=$D$2),8,0)+IF(AND(AA22="夜12",$AB$5="PH",$AA$4&lt;=$D$2),8,0)+IF(AND(AB22="夜12",$AC$5="PH",$AB$4&lt;=$D$2),8,0)+IF(AND(AC22="夜12",$AD$5="PH",$AC$4&lt;=$D$2),8,0)+IF(AND(AD22="夜12",$AE$5="PH",$AD$4&lt;=$D$2),8,0)+IF(AND(AE22="夜12",$AF$5="PH",$AE$4&lt;=$D$2),8,0)+IF(AND(AF22="夜12",$AG$5="PH",$AF$4&lt;=$D$2),8,0)+IF(AND(AG22="夜12",$AH$5="PH",$AG$4&lt;=$D$2),8,0)+IF(AND(AH22="夜12",$AI$5="PH",$AH$4&lt;=$D$2),8,0)+IF(AND(AI22="夜12",$AJ$5="PH",$AI$4&lt;=$D$2),8,0)+IF(AND(AJ22="夜12",$AK$5="PH",$AJ$4&lt;=$D$2),8,0)+IF(AND(AK22="夜12",$AL$5="PH",$AK$4&lt;=$D$2),8,0)+
IF(AND(G22="夜8",$H$5="PH",$G$4&lt;=$D$2),7,0)+IF(AND(H22="夜8",$I$5="PH",$H$4&lt;=$D$2),7,0)+IF(AND(I22="夜8",$J$5="PH",$I$4&lt;=$D$2),7,0)+IF(AND(J22="夜8",$K$5="PH",$J$4&lt;=$D$2),7,0)+IF(AND(K22="夜8",$L$5="PH",$K$4&lt;=$D$2),7,0)+IF(AND(L22="夜8",$M$5="PH",$L$4&lt;=$D$2),7,0)+IF(AND(M22="夜8",$N$5="PH",$M$4&lt;=$D$2),7,0)+IF(AND(N22="夜8",$O$5="PH",$N$4&lt;=$D$2),7,0)+IF(AND(O22="夜8",$P$5="PH",$O$4&lt;=$D$2),7,0)+IF(AND(P22="夜8",$Q$5="PH",$P$4&lt;=$D$2),7,0)+IF(AND(Q22="夜8",$R$5="PH",$Q$4&lt;=$D$2),7,0)+IF(AND(R22="夜8",$S$5="PH",$R$4&lt;=$D$2),7,0)+IF(AND(S22="夜8",$T$5="PH",$S$4&lt;=$D$2),7,0)+IF(AND(T22="夜8",$U$5="PH",$T$4&lt;=$D$2),7,0)+IF(AND(U22="夜8",$V$5="PH",$U$4&lt;=$D$2),7,0)+IF(AND(V22="夜8",$W$5="PH",$V$4&lt;=$D$2),7,0)+IF(AND(W22="夜8",$X$5="PH",$W$4&lt;=$D$2),7,0)+IF(AND(X22="夜8",$Y$5="PH",$X$4&lt;=$D$2),7,0)+IF(AND(Y22="夜8",$Z$5="PH",$Y$4&lt;=$D$2),7,0)+IF(AND(Z22="夜8",$AA$5="PH",$Z$4&lt;=$D$2),7,0)+IF(AND(AA22="夜8",$AB$5="PH",$AA$4&lt;=$D$2),7,0)+IF(AND(AB22="夜8",$AC$5="PH",$AB$4&lt;=$D$2),7,0)+IF(AND(AC22="夜8",$AD$5="PH",$AC$4&lt;=$D$2),7,0)+IF(AND(AD22="夜8",$AE$5="PH",$AD$4&lt;=$D$2),7,0)+IF(AND(AE22="夜8",$AF$5="PH",$AE$4&lt;=$D$2),7,0)+IF(AND(AF22="夜8",$AG$5="PH",$AF$4&lt;=$D$2),7,0)+IF(AND(AG22="夜8",$AH$5="PH",$AG$4&lt;=$D$2),7,0)+IF(AND(AH22="夜8",$AI$5="PH",$AH$4&lt;=$D$2),7,0)+IF(AND(AI22="夜8",$AJ$5="PH",$AI$4&lt;=$D$2),7,0)+IF(AND(AJ22="夜8",$AK$5="PH",$AJ$4&lt;=$D$2),7,0)+IF(AND(AK22="夜8",$AL$5="PH",$AK$4&lt;=$D$2),7,0)</f>
        <v>#VALUE!</v>
      </c>
      <c r="AT22" s="105"/>
      <c r="AU22" s="105"/>
      <c r="AV22" s="61" t="e">
        <f t="shared" ref="AV22:AV36" si="28">SUM(AM22:AR22)-AS22+AT22</f>
        <v>#VALUE!</v>
      </c>
      <c r="AW22" s="61" t="e">
        <f t="shared" ref="AW22:AW36" si="29">AV22/8</f>
        <v>#VALUE!</v>
      </c>
      <c r="AX22" s="61" t="e">
        <f t="shared" si="4"/>
        <v>#VALUE!</v>
      </c>
      <c r="AY22" s="61" t="e">
        <f t="shared" ref="AY22:AY36" si="30">ROUND(IF(AW22&gt;=AX22,AX22,AW22)*D22,2)</f>
        <v>#VALUE!</v>
      </c>
      <c r="AZ22" s="61" t="e">
        <f t="shared" ref="AZ22:AZ36" si="31">ROUND(IF((AW22-AX22)*1.5*D22&lt;0,0,(AW22-AX22)*1.5*D22),2)</f>
        <v>#VALUE!</v>
      </c>
      <c r="BA22" s="61" t="e">
        <f t="shared" ref="BA22:BA36" si="32">ROUND(D22/8*(AS22+AU22)*3,2)</f>
        <v>#VALUE!</v>
      </c>
      <c r="BB22" s="61">
        <f t="shared" ref="BB22:BB36" si="33">COUNTIFS(G22:AK22,"早12",$G$4:$AK$4,"&lt;="&amp;$D$2)*50+COUNTIFS(G22:AK22,"夜12",$G$4:$AK$4,"&lt;="&amp;$D$2)*50+COUNTIFS(G22:AK22,"早8",$G$4:$AK$4,"&lt;="&amp;$D$2)*50+COUNTIFS(G22:AK22,"午8",$G$4:$AK$4,"&lt;="&amp;$D$2)*50+COUNTIFS(G22:AK22,"夜8",$G$4:$AK$4,"&lt;="&amp;$D$2)*50</f>
        <v>0</v>
      </c>
      <c r="BC22" s="105"/>
      <c r="BD22" s="62" t="e">
        <f t="shared" ref="BD22:BD36" si="34">SUM(AY22:BC22)</f>
        <v>#VALUE!</v>
      </c>
      <c r="BE22" s="105"/>
      <c r="BF22" s="117" t="s">
        <v>58</v>
      </c>
    </row>
    <row r="23" spans="1:58">
      <c r="A23" s="59">
        <v>17</v>
      </c>
      <c r="B23" s="103"/>
      <c r="C23" s="104"/>
      <c r="D23" s="105"/>
      <c r="E23" s="104"/>
      <c r="F23" s="106"/>
      <c r="G23" s="107"/>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7"/>
      <c r="AM23" s="60">
        <f t="shared" si="21"/>
        <v>0</v>
      </c>
      <c r="AN23" s="61">
        <f t="shared" si="22"/>
        <v>0</v>
      </c>
      <c r="AO23" s="100">
        <f t="shared" si="23"/>
        <v>0</v>
      </c>
      <c r="AP23" s="100">
        <f t="shared" si="24"/>
        <v>0</v>
      </c>
      <c r="AQ23" s="61">
        <f t="shared" si="25"/>
        <v>0</v>
      </c>
      <c r="AR23" s="61">
        <f t="shared" si="26"/>
        <v>0</v>
      </c>
      <c r="AS23" s="61" t="e">
        <f t="shared" si="27"/>
        <v>#VALUE!</v>
      </c>
      <c r="AT23" s="105"/>
      <c r="AU23" s="105"/>
      <c r="AV23" s="61" t="e">
        <f t="shared" si="28"/>
        <v>#VALUE!</v>
      </c>
      <c r="AW23" s="61" t="e">
        <f t="shared" si="29"/>
        <v>#VALUE!</v>
      </c>
      <c r="AX23" s="61" t="e">
        <f t="shared" si="4"/>
        <v>#VALUE!</v>
      </c>
      <c r="AY23" s="61" t="e">
        <f t="shared" si="30"/>
        <v>#VALUE!</v>
      </c>
      <c r="AZ23" s="61" t="e">
        <f t="shared" si="31"/>
        <v>#VALUE!</v>
      </c>
      <c r="BA23" s="61" t="e">
        <f t="shared" si="32"/>
        <v>#VALUE!</v>
      </c>
      <c r="BB23" s="61">
        <f t="shared" si="33"/>
        <v>0</v>
      </c>
      <c r="BC23" s="105"/>
      <c r="BD23" s="62" t="e">
        <f t="shared" si="34"/>
        <v>#VALUE!</v>
      </c>
      <c r="BE23" s="105"/>
      <c r="BF23" s="117" t="s">
        <v>58</v>
      </c>
    </row>
    <row r="24" spans="1:58">
      <c r="A24" s="59">
        <v>18</v>
      </c>
      <c r="B24" s="103"/>
      <c r="C24" s="104"/>
      <c r="D24" s="105"/>
      <c r="E24" s="104"/>
      <c r="F24" s="106"/>
      <c r="G24" s="107"/>
      <c r="H24" s="105"/>
      <c r="I24" s="105"/>
      <c r="J24" s="105"/>
      <c r="K24" s="105"/>
      <c r="L24" s="105"/>
      <c r="M24" s="105"/>
      <c r="N24" s="105"/>
      <c r="O24" s="105"/>
      <c r="P24" s="105"/>
      <c r="Q24" s="105"/>
      <c r="R24" s="105"/>
      <c r="S24" s="105"/>
      <c r="T24" s="105"/>
      <c r="U24" s="105"/>
      <c r="V24" s="105"/>
      <c r="W24" s="105"/>
      <c r="X24" s="105"/>
      <c r="Y24" s="105"/>
      <c r="Z24" s="105"/>
      <c r="AA24" s="105"/>
      <c r="AB24" s="105"/>
      <c r="AC24" s="105"/>
      <c r="AD24" s="105"/>
      <c r="AE24" s="105"/>
      <c r="AF24" s="105"/>
      <c r="AG24" s="105"/>
      <c r="AH24" s="105"/>
      <c r="AI24" s="105"/>
      <c r="AJ24" s="105"/>
      <c r="AK24" s="105"/>
      <c r="AL24" s="97"/>
      <c r="AM24" s="60">
        <f t="shared" si="21"/>
        <v>0</v>
      </c>
      <c r="AN24" s="61">
        <f t="shared" si="22"/>
        <v>0</v>
      </c>
      <c r="AO24" s="100">
        <f t="shared" si="23"/>
        <v>0</v>
      </c>
      <c r="AP24" s="100">
        <f t="shared" si="24"/>
        <v>0</v>
      </c>
      <c r="AQ24" s="61">
        <f t="shared" si="25"/>
        <v>0</v>
      </c>
      <c r="AR24" s="61">
        <f t="shared" si="26"/>
        <v>0</v>
      </c>
      <c r="AS24" s="61" t="e">
        <f t="shared" si="27"/>
        <v>#VALUE!</v>
      </c>
      <c r="AT24" s="105"/>
      <c r="AU24" s="105"/>
      <c r="AV24" s="61" t="e">
        <f t="shared" si="28"/>
        <v>#VALUE!</v>
      </c>
      <c r="AW24" s="61" t="e">
        <f t="shared" si="29"/>
        <v>#VALUE!</v>
      </c>
      <c r="AX24" s="61" t="e">
        <f t="shared" si="4"/>
        <v>#VALUE!</v>
      </c>
      <c r="AY24" s="61" t="e">
        <f t="shared" si="30"/>
        <v>#VALUE!</v>
      </c>
      <c r="AZ24" s="61" t="e">
        <f t="shared" si="31"/>
        <v>#VALUE!</v>
      </c>
      <c r="BA24" s="61" t="e">
        <f t="shared" si="32"/>
        <v>#VALUE!</v>
      </c>
      <c r="BB24" s="61">
        <f t="shared" si="33"/>
        <v>0</v>
      </c>
      <c r="BC24" s="105"/>
      <c r="BD24" s="62" t="e">
        <f t="shared" si="34"/>
        <v>#VALUE!</v>
      </c>
      <c r="BE24" s="105"/>
      <c r="BF24" s="117" t="s">
        <v>58</v>
      </c>
    </row>
    <row r="25" spans="1:58">
      <c r="A25" s="59">
        <v>19</v>
      </c>
      <c r="B25" s="103"/>
      <c r="C25" s="104"/>
      <c r="D25" s="105"/>
      <c r="E25" s="104"/>
      <c r="F25" s="106"/>
      <c r="G25" s="107"/>
      <c r="H25" s="105"/>
      <c r="I25" s="105"/>
      <c r="J25" s="105"/>
      <c r="K25" s="105"/>
      <c r="L25" s="105"/>
      <c r="M25" s="105"/>
      <c r="N25" s="105"/>
      <c r="O25" s="105"/>
      <c r="P25" s="105"/>
      <c r="Q25" s="105"/>
      <c r="R25" s="105"/>
      <c r="S25" s="105"/>
      <c r="T25" s="105"/>
      <c r="U25" s="105"/>
      <c r="V25" s="105"/>
      <c r="W25" s="105"/>
      <c r="X25" s="105"/>
      <c r="Y25" s="105"/>
      <c r="Z25" s="105"/>
      <c r="AA25" s="105"/>
      <c r="AB25" s="105"/>
      <c r="AC25" s="105"/>
      <c r="AD25" s="105"/>
      <c r="AE25" s="105"/>
      <c r="AF25" s="105"/>
      <c r="AG25" s="105"/>
      <c r="AH25" s="105"/>
      <c r="AI25" s="105"/>
      <c r="AJ25" s="105"/>
      <c r="AK25" s="105"/>
      <c r="AL25" s="97"/>
      <c r="AM25" s="60">
        <f t="shared" si="21"/>
        <v>0</v>
      </c>
      <c r="AN25" s="61">
        <f t="shared" si="22"/>
        <v>0</v>
      </c>
      <c r="AO25" s="100">
        <f t="shared" si="23"/>
        <v>0</v>
      </c>
      <c r="AP25" s="100">
        <f t="shared" si="24"/>
        <v>0</v>
      </c>
      <c r="AQ25" s="61">
        <f t="shared" si="25"/>
        <v>0</v>
      </c>
      <c r="AR25" s="61">
        <f t="shared" si="26"/>
        <v>0</v>
      </c>
      <c r="AS25" s="61" t="e">
        <f t="shared" si="27"/>
        <v>#VALUE!</v>
      </c>
      <c r="AT25" s="105"/>
      <c r="AU25" s="105"/>
      <c r="AV25" s="61" t="e">
        <f t="shared" si="28"/>
        <v>#VALUE!</v>
      </c>
      <c r="AW25" s="61" t="e">
        <f t="shared" si="29"/>
        <v>#VALUE!</v>
      </c>
      <c r="AX25" s="61" t="e">
        <f t="shared" si="4"/>
        <v>#VALUE!</v>
      </c>
      <c r="AY25" s="61" t="e">
        <f t="shared" si="30"/>
        <v>#VALUE!</v>
      </c>
      <c r="AZ25" s="61" t="e">
        <f t="shared" si="31"/>
        <v>#VALUE!</v>
      </c>
      <c r="BA25" s="61" t="e">
        <f t="shared" si="32"/>
        <v>#VALUE!</v>
      </c>
      <c r="BB25" s="61">
        <f t="shared" si="33"/>
        <v>0</v>
      </c>
      <c r="BC25" s="105"/>
      <c r="BD25" s="62" t="e">
        <f t="shared" si="34"/>
        <v>#VALUE!</v>
      </c>
      <c r="BE25" s="105"/>
      <c r="BF25" s="117" t="s">
        <v>58</v>
      </c>
    </row>
    <row r="26" spans="1:58">
      <c r="A26" s="59">
        <v>20</v>
      </c>
      <c r="B26" s="103"/>
      <c r="C26" s="104"/>
      <c r="D26" s="105"/>
      <c r="E26" s="104"/>
      <c r="F26" s="106"/>
      <c r="G26" s="107"/>
      <c r="H26" s="105"/>
      <c r="I26" s="105"/>
      <c r="J26" s="105"/>
      <c r="K26" s="105"/>
      <c r="L26" s="105"/>
      <c r="M26" s="105"/>
      <c r="N26" s="105"/>
      <c r="O26" s="105"/>
      <c r="P26" s="105"/>
      <c r="Q26" s="105"/>
      <c r="R26" s="105"/>
      <c r="S26" s="105"/>
      <c r="T26" s="105"/>
      <c r="U26" s="105"/>
      <c r="V26" s="105"/>
      <c r="W26" s="105"/>
      <c r="X26" s="105"/>
      <c r="Y26" s="105"/>
      <c r="Z26" s="105"/>
      <c r="AA26" s="105"/>
      <c r="AB26" s="105"/>
      <c r="AC26" s="105"/>
      <c r="AD26" s="105"/>
      <c r="AE26" s="105"/>
      <c r="AF26" s="105"/>
      <c r="AG26" s="105"/>
      <c r="AH26" s="105"/>
      <c r="AI26" s="105"/>
      <c r="AJ26" s="105"/>
      <c r="AK26" s="105"/>
      <c r="AL26" s="97"/>
      <c r="AM26" s="60">
        <f t="shared" si="21"/>
        <v>0</v>
      </c>
      <c r="AN26" s="61">
        <f t="shared" si="22"/>
        <v>0</v>
      </c>
      <c r="AO26" s="100">
        <f t="shared" si="23"/>
        <v>0</v>
      </c>
      <c r="AP26" s="100">
        <f t="shared" si="24"/>
        <v>0</v>
      </c>
      <c r="AQ26" s="61">
        <f t="shared" si="25"/>
        <v>0</v>
      </c>
      <c r="AR26" s="61">
        <f t="shared" si="26"/>
        <v>0</v>
      </c>
      <c r="AS26" s="61" t="e">
        <f t="shared" si="27"/>
        <v>#VALUE!</v>
      </c>
      <c r="AT26" s="105"/>
      <c r="AU26" s="105"/>
      <c r="AV26" s="61" t="e">
        <f t="shared" si="28"/>
        <v>#VALUE!</v>
      </c>
      <c r="AW26" s="61" t="e">
        <f t="shared" si="29"/>
        <v>#VALUE!</v>
      </c>
      <c r="AX26" s="61" t="e">
        <f t="shared" si="4"/>
        <v>#VALUE!</v>
      </c>
      <c r="AY26" s="61" t="e">
        <f t="shared" si="30"/>
        <v>#VALUE!</v>
      </c>
      <c r="AZ26" s="61" t="e">
        <f t="shared" si="31"/>
        <v>#VALUE!</v>
      </c>
      <c r="BA26" s="61" t="e">
        <f t="shared" si="32"/>
        <v>#VALUE!</v>
      </c>
      <c r="BB26" s="61">
        <f t="shared" si="33"/>
        <v>0</v>
      </c>
      <c r="BC26" s="105"/>
      <c r="BD26" s="62" t="e">
        <f t="shared" si="34"/>
        <v>#VALUE!</v>
      </c>
      <c r="BE26" s="105"/>
      <c r="BF26" s="117" t="s">
        <v>58</v>
      </c>
    </row>
    <row r="27" spans="1:58">
      <c r="A27" s="59">
        <v>21</v>
      </c>
      <c r="B27" s="103"/>
      <c r="C27" s="104"/>
      <c r="D27" s="105"/>
      <c r="E27" s="104"/>
      <c r="F27" s="106"/>
      <c r="G27" s="107"/>
      <c r="H27" s="105"/>
      <c r="I27" s="105"/>
      <c r="J27" s="105"/>
      <c r="K27" s="105"/>
      <c r="L27" s="105"/>
      <c r="M27" s="105"/>
      <c r="N27" s="105"/>
      <c r="O27" s="105"/>
      <c r="P27" s="105"/>
      <c r="Q27" s="105"/>
      <c r="R27" s="105"/>
      <c r="S27" s="105"/>
      <c r="T27" s="105"/>
      <c r="U27" s="105"/>
      <c r="V27" s="105"/>
      <c r="W27" s="105"/>
      <c r="X27" s="105"/>
      <c r="Y27" s="105"/>
      <c r="Z27" s="105"/>
      <c r="AA27" s="105"/>
      <c r="AB27" s="105"/>
      <c r="AC27" s="105"/>
      <c r="AD27" s="105"/>
      <c r="AE27" s="105"/>
      <c r="AF27" s="105"/>
      <c r="AG27" s="105"/>
      <c r="AH27" s="105"/>
      <c r="AI27" s="105"/>
      <c r="AJ27" s="105"/>
      <c r="AK27" s="105"/>
      <c r="AL27" s="97"/>
      <c r="AM27" s="60">
        <f t="shared" si="21"/>
        <v>0</v>
      </c>
      <c r="AN27" s="61">
        <f t="shared" si="22"/>
        <v>0</v>
      </c>
      <c r="AO27" s="100">
        <f t="shared" si="23"/>
        <v>0</v>
      </c>
      <c r="AP27" s="100">
        <f t="shared" si="24"/>
        <v>0</v>
      </c>
      <c r="AQ27" s="61">
        <f t="shared" si="25"/>
        <v>0</v>
      </c>
      <c r="AR27" s="61">
        <f t="shared" si="26"/>
        <v>0</v>
      </c>
      <c r="AS27" s="61" t="e">
        <f t="shared" si="27"/>
        <v>#VALUE!</v>
      </c>
      <c r="AT27" s="105"/>
      <c r="AU27" s="105"/>
      <c r="AV27" s="61" t="e">
        <f t="shared" si="28"/>
        <v>#VALUE!</v>
      </c>
      <c r="AW27" s="61" t="e">
        <f t="shared" si="29"/>
        <v>#VALUE!</v>
      </c>
      <c r="AX27" s="61" t="e">
        <f t="shared" si="4"/>
        <v>#VALUE!</v>
      </c>
      <c r="AY27" s="61" t="e">
        <f t="shared" si="30"/>
        <v>#VALUE!</v>
      </c>
      <c r="AZ27" s="61" t="e">
        <f t="shared" si="31"/>
        <v>#VALUE!</v>
      </c>
      <c r="BA27" s="61" t="e">
        <f t="shared" si="32"/>
        <v>#VALUE!</v>
      </c>
      <c r="BB27" s="61">
        <f t="shared" si="33"/>
        <v>0</v>
      </c>
      <c r="BC27" s="105"/>
      <c r="BD27" s="62" t="e">
        <f t="shared" si="34"/>
        <v>#VALUE!</v>
      </c>
      <c r="BE27" s="105"/>
      <c r="BF27" s="117" t="s">
        <v>58</v>
      </c>
    </row>
    <row r="28" spans="1:58">
      <c r="A28" s="59">
        <v>22</v>
      </c>
      <c r="B28" s="103"/>
      <c r="C28" s="104"/>
      <c r="D28" s="105"/>
      <c r="E28" s="104"/>
      <c r="F28" s="106"/>
      <c r="G28" s="107"/>
      <c r="H28" s="105"/>
      <c r="I28" s="105"/>
      <c r="J28" s="105"/>
      <c r="K28" s="105"/>
      <c r="L28" s="105"/>
      <c r="M28" s="105"/>
      <c r="N28" s="105"/>
      <c r="O28" s="105"/>
      <c r="P28" s="105"/>
      <c r="Q28" s="105"/>
      <c r="R28" s="105"/>
      <c r="S28" s="105"/>
      <c r="T28" s="105"/>
      <c r="U28" s="105"/>
      <c r="V28" s="105"/>
      <c r="W28" s="105"/>
      <c r="X28" s="105"/>
      <c r="Y28" s="105"/>
      <c r="Z28" s="105"/>
      <c r="AA28" s="105"/>
      <c r="AB28" s="105"/>
      <c r="AC28" s="105"/>
      <c r="AD28" s="105"/>
      <c r="AE28" s="105"/>
      <c r="AF28" s="105"/>
      <c r="AG28" s="105"/>
      <c r="AH28" s="105"/>
      <c r="AI28" s="105"/>
      <c r="AJ28" s="105"/>
      <c r="AK28" s="105"/>
      <c r="AL28" s="97"/>
      <c r="AM28" s="60">
        <f t="shared" si="21"/>
        <v>0</v>
      </c>
      <c r="AN28" s="61">
        <f t="shared" si="22"/>
        <v>0</v>
      </c>
      <c r="AO28" s="100">
        <f t="shared" si="23"/>
        <v>0</v>
      </c>
      <c r="AP28" s="100">
        <f t="shared" si="24"/>
        <v>0</v>
      </c>
      <c r="AQ28" s="61">
        <f t="shared" si="25"/>
        <v>0</v>
      </c>
      <c r="AR28" s="61">
        <f t="shared" si="26"/>
        <v>0</v>
      </c>
      <c r="AS28" s="61" t="e">
        <f t="shared" si="27"/>
        <v>#VALUE!</v>
      </c>
      <c r="AT28" s="105"/>
      <c r="AU28" s="105"/>
      <c r="AV28" s="61" t="e">
        <f t="shared" si="28"/>
        <v>#VALUE!</v>
      </c>
      <c r="AW28" s="61" t="e">
        <f t="shared" si="29"/>
        <v>#VALUE!</v>
      </c>
      <c r="AX28" s="61" t="e">
        <f t="shared" si="4"/>
        <v>#VALUE!</v>
      </c>
      <c r="AY28" s="61" t="e">
        <f t="shared" si="30"/>
        <v>#VALUE!</v>
      </c>
      <c r="AZ28" s="61" t="e">
        <f t="shared" si="31"/>
        <v>#VALUE!</v>
      </c>
      <c r="BA28" s="61" t="e">
        <f t="shared" si="32"/>
        <v>#VALUE!</v>
      </c>
      <c r="BB28" s="61">
        <f t="shared" si="33"/>
        <v>0</v>
      </c>
      <c r="BC28" s="105"/>
      <c r="BD28" s="62" t="e">
        <f t="shared" si="34"/>
        <v>#VALUE!</v>
      </c>
      <c r="BE28" s="105"/>
      <c r="BF28" s="117" t="s">
        <v>58</v>
      </c>
    </row>
    <row r="29" spans="1:58">
      <c r="A29" s="59">
        <v>23</v>
      </c>
      <c r="B29" s="103"/>
      <c r="C29" s="104"/>
      <c r="D29" s="105"/>
      <c r="E29" s="104"/>
      <c r="F29" s="106"/>
      <c r="G29" s="107"/>
      <c r="H29" s="105"/>
      <c r="I29" s="105"/>
      <c r="J29" s="105"/>
      <c r="K29" s="105"/>
      <c r="L29" s="105"/>
      <c r="M29" s="105"/>
      <c r="N29" s="105"/>
      <c r="O29" s="105"/>
      <c r="P29" s="105"/>
      <c r="Q29" s="105"/>
      <c r="R29" s="105"/>
      <c r="S29" s="105"/>
      <c r="T29" s="105"/>
      <c r="U29" s="105"/>
      <c r="V29" s="105"/>
      <c r="W29" s="105"/>
      <c r="X29" s="105"/>
      <c r="Y29" s="105"/>
      <c r="Z29" s="105"/>
      <c r="AA29" s="105"/>
      <c r="AB29" s="105"/>
      <c r="AC29" s="105"/>
      <c r="AD29" s="105"/>
      <c r="AE29" s="105"/>
      <c r="AF29" s="105"/>
      <c r="AG29" s="105"/>
      <c r="AH29" s="105"/>
      <c r="AI29" s="105"/>
      <c r="AJ29" s="105"/>
      <c r="AK29" s="105"/>
      <c r="AL29" s="97"/>
      <c r="AM29" s="60">
        <f t="shared" si="21"/>
        <v>0</v>
      </c>
      <c r="AN29" s="61">
        <f t="shared" si="22"/>
        <v>0</v>
      </c>
      <c r="AO29" s="100">
        <f t="shared" si="23"/>
        <v>0</v>
      </c>
      <c r="AP29" s="100">
        <f t="shared" si="24"/>
        <v>0</v>
      </c>
      <c r="AQ29" s="61">
        <f t="shared" si="25"/>
        <v>0</v>
      </c>
      <c r="AR29" s="61">
        <f t="shared" si="26"/>
        <v>0</v>
      </c>
      <c r="AS29" s="61" t="e">
        <f t="shared" si="27"/>
        <v>#VALUE!</v>
      </c>
      <c r="AT29" s="105"/>
      <c r="AU29" s="105"/>
      <c r="AV29" s="61" t="e">
        <f t="shared" si="28"/>
        <v>#VALUE!</v>
      </c>
      <c r="AW29" s="61" t="e">
        <f t="shared" si="29"/>
        <v>#VALUE!</v>
      </c>
      <c r="AX29" s="61" t="e">
        <f t="shared" si="4"/>
        <v>#VALUE!</v>
      </c>
      <c r="AY29" s="61" t="e">
        <f t="shared" si="30"/>
        <v>#VALUE!</v>
      </c>
      <c r="AZ29" s="61" t="e">
        <f t="shared" si="31"/>
        <v>#VALUE!</v>
      </c>
      <c r="BA29" s="61" t="e">
        <f t="shared" si="32"/>
        <v>#VALUE!</v>
      </c>
      <c r="BB29" s="61">
        <f t="shared" si="33"/>
        <v>0</v>
      </c>
      <c r="BC29" s="105"/>
      <c r="BD29" s="62" t="e">
        <f t="shared" si="34"/>
        <v>#VALUE!</v>
      </c>
      <c r="BE29" s="105"/>
      <c r="BF29" s="117" t="s">
        <v>58</v>
      </c>
    </row>
    <row r="30" spans="1:58">
      <c r="A30" s="59">
        <v>24</v>
      </c>
      <c r="B30" s="103"/>
      <c r="C30" s="104"/>
      <c r="D30" s="105"/>
      <c r="E30" s="104"/>
      <c r="F30" s="106"/>
      <c r="G30" s="107"/>
      <c r="H30" s="105"/>
      <c r="I30" s="105"/>
      <c r="J30" s="105"/>
      <c r="K30" s="105"/>
      <c r="L30" s="105"/>
      <c r="M30" s="105"/>
      <c r="N30" s="105"/>
      <c r="O30" s="105"/>
      <c r="P30" s="105"/>
      <c r="Q30" s="105"/>
      <c r="R30" s="105"/>
      <c r="S30" s="105"/>
      <c r="T30" s="105"/>
      <c r="U30" s="105"/>
      <c r="V30" s="105"/>
      <c r="W30" s="105"/>
      <c r="X30" s="105"/>
      <c r="Y30" s="105"/>
      <c r="Z30" s="105"/>
      <c r="AA30" s="105"/>
      <c r="AB30" s="105"/>
      <c r="AC30" s="105"/>
      <c r="AD30" s="105"/>
      <c r="AE30" s="105"/>
      <c r="AF30" s="105"/>
      <c r="AG30" s="105"/>
      <c r="AH30" s="105"/>
      <c r="AI30" s="105"/>
      <c r="AJ30" s="105"/>
      <c r="AK30" s="105"/>
      <c r="AL30" s="97"/>
      <c r="AM30" s="60">
        <f t="shared" si="21"/>
        <v>0</v>
      </c>
      <c r="AN30" s="61">
        <f t="shared" si="22"/>
        <v>0</v>
      </c>
      <c r="AO30" s="100">
        <f t="shared" si="23"/>
        <v>0</v>
      </c>
      <c r="AP30" s="100">
        <f t="shared" si="24"/>
        <v>0</v>
      </c>
      <c r="AQ30" s="61">
        <f t="shared" si="25"/>
        <v>0</v>
      </c>
      <c r="AR30" s="61">
        <f t="shared" si="26"/>
        <v>0</v>
      </c>
      <c r="AS30" s="61" t="e">
        <f t="shared" si="27"/>
        <v>#VALUE!</v>
      </c>
      <c r="AT30" s="105"/>
      <c r="AU30" s="105"/>
      <c r="AV30" s="61" t="e">
        <f t="shared" si="28"/>
        <v>#VALUE!</v>
      </c>
      <c r="AW30" s="61" t="e">
        <f t="shared" si="29"/>
        <v>#VALUE!</v>
      </c>
      <c r="AX30" s="61" t="e">
        <f t="shared" si="4"/>
        <v>#VALUE!</v>
      </c>
      <c r="AY30" s="61" t="e">
        <f t="shared" si="30"/>
        <v>#VALUE!</v>
      </c>
      <c r="AZ30" s="61" t="e">
        <f t="shared" si="31"/>
        <v>#VALUE!</v>
      </c>
      <c r="BA30" s="61" t="e">
        <f t="shared" si="32"/>
        <v>#VALUE!</v>
      </c>
      <c r="BB30" s="61">
        <f t="shared" si="33"/>
        <v>0</v>
      </c>
      <c r="BC30" s="105"/>
      <c r="BD30" s="62" t="e">
        <f t="shared" si="34"/>
        <v>#VALUE!</v>
      </c>
      <c r="BE30" s="105"/>
      <c r="BF30" s="117" t="s">
        <v>58</v>
      </c>
    </row>
    <row r="31" spans="1:58">
      <c r="A31" s="59">
        <v>25</v>
      </c>
      <c r="B31" s="103"/>
      <c r="C31" s="104"/>
      <c r="D31" s="105"/>
      <c r="E31" s="104"/>
      <c r="F31" s="106"/>
      <c r="G31" s="107"/>
      <c r="H31" s="105"/>
      <c r="I31" s="105"/>
      <c r="J31" s="105"/>
      <c r="K31" s="105"/>
      <c r="L31" s="105"/>
      <c r="M31" s="105"/>
      <c r="N31" s="105"/>
      <c r="O31" s="105"/>
      <c r="P31" s="105"/>
      <c r="Q31" s="105"/>
      <c r="R31" s="105"/>
      <c r="S31" s="105"/>
      <c r="T31" s="105"/>
      <c r="U31" s="105"/>
      <c r="V31" s="105"/>
      <c r="W31" s="105"/>
      <c r="X31" s="105"/>
      <c r="Y31" s="105"/>
      <c r="Z31" s="105"/>
      <c r="AA31" s="105"/>
      <c r="AB31" s="105"/>
      <c r="AC31" s="105"/>
      <c r="AD31" s="105"/>
      <c r="AE31" s="105"/>
      <c r="AF31" s="105"/>
      <c r="AG31" s="105"/>
      <c r="AH31" s="105"/>
      <c r="AI31" s="105"/>
      <c r="AJ31" s="105"/>
      <c r="AK31" s="105"/>
      <c r="AL31" s="97"/>
      <c r="AM31" s="60">
        <f t="shared" si="21"/>
        <v>0</v>
      </c>
      <c r="AN31" s="61">
        <f t="shared" si="22"/>
        <v>0</v>
      </c>
      <c r="AO31" s="100">
        <f t="shared" si="23"/>
        <v>0</v>
      </c>
      <c r="AP31" s="100">
        <f t="shared" si="24"/>
        <v>0</v>
      </c>
      <c r="AQ31" s="61">
        <f t="shared" si="25"/>
        <v>0</v>
      </c>
      <c r="AR31" s="61">
        <f t="shared" si="26"/>
        <v>0</v>
      </c>
      <c r="AS31" s="61" t="e">
        <f t="shared" si="27"/>
        <v>#VALUE!</v>
      </c>
      <c r="AT31" s="105"/>
      <c r="AU31" s="105"/>
      <c r="AV31" s="61" t="e">
        <f t="shared" si="28"/>
        <v>#VALUE!</v>
      </c>
      <c r="AW31" s="61" t="e">
        <f t="shared" si="29"/>
        <v>#VALUE!</v>
      </c>
      <c r="AX31" s="61" t="e">
        <f t="shared" si="4"/>
        <v>#VALUE!</v>
      </c>
      <c r="AY31" s="61" t="e">
        <f t="shared" si="30"/>
        <v>#VALUE!</v>
      </c>
      <c r="AZ31" s="61" t="e">
        <f t="shared" si="31"/>
        <v>#VALUE!</v>
      </c>
      <c r="BA31" s="61" t="e">
        <f t="shared" si="32"/>
        <v>#VALUE!</v>
      </c>
      <c r="BB31" s="61">
        <f t="shared" si="33"/>
        <v>0</v>
      </c>
      <c r="BC31" s="105"/>
      <c r="BD31" s="62" t="e">
        <f t="shared" si="34"/>
        <v>#VALUE!</v>
      </c>
      <c r="BE31" s="105"/>
      <c r="BF31" s="117" t="s">
        <v>58</v>
      </c>
    </row>
    <row r="32" spans="1:58">
      <c r="A32" s="59">
        <v>26</v>
      </c>
      <c r="B32" s="103"/>
      <c r="C32" s="104"/>
      <c r="D32" s="105"/>
      <c r="E32" s="104"/>
      <c r="F32" s="106"/>
      <c r="G32" s="107"/>
      <c r="H32" s="105"/>
      <c r="I32" s="105"/>
      <c r="J32" s="105"/>
      <c r="K32" s="105"/>
      <c r="L32" s="105"/>
      <c r="M32" s="105"/>
      <c r="N32" s="105"/>
      <c r="O32" s="105"/>
      <c r="P32" s="105"/>
      <c r="Q32" s="105"/>
      <c r="R32" s="105"/>
      <c r="S32" s="105"/>
      <c r="T32" s="105"/>
      <c r="U32" s="105"/>
      <c r="V32" s="105"/>
      <c r="W32" s="105"/>
      <c r="X32" s="105"/>
      <c r="Y32" s="105"/>
      <c r="Z32" s="105"/>
      <c r="AA32" s="105"/>
      <c r="AB32" s="105"/>
      <c r="AC32" s="105"/>
      <c r="AD32" s="105"/>
      <c r="AE32" s="105"/>
      <c r="AF32" s="105"/>
      <c r="AG32" s="105"/>
      <c r="AH32" s="105"/>
      <c r="AI32" s="105"/>
      <c r="AJ32" s="105"/>
      <c r="AK32" s="105"/>
      <c r="AL32" s="97"/>
      <c r="AM32" s="60">
        <f t="shared" si="21"/>
        <v>0</v>
      </c>
      <c r="AN32" s="61">
        <f t="shared" si="22"/>
        <v>0</v>
      </c>
      <c r="AO32" s="100">
        <f t="shared" si="23"/>
        <v>0</v>
      </c>
      <c r="AP32" s="100">
        <f t="shared" si="24"/>
        <v>0</v>
      </c>
      <c r="AQ32" s="61">
        <f t="shared" si="25"/>
        <v>0</v>
      </c>
      <c r="AR32" s="61">
        <f t="shared" si="26"/>
        <v>0</v>
      </c>
      <c r="AS32" s="61" t="e">
        <f t="shared" si="27"/>
        <v>#VALUE!</v>
      </c>
      <c r="AT32" s="105"/>
      <c r="AU32" s="105"/>
      <c r="AV32" s="61" t="e">
        <f t="shared" si="28"/>
        <v>#VALUE!</v>
      </c>
      <c r="AW32" s="61" t="e">
        <f t="shared" si="29"/>
        <v>#VALUE!</v>
      </c>
      <c r="AX32" s="61" t="e">
        <f t="shared" si="4"/>
        <v>#VALUE!</v>
      </c>
      <c r="AY32" s="61" t="e">
        <f t="shared" si="30"/>
        <v>#VALUE!</v>
      </c>
      <c r="AZ32" s="61" t="e">
        <f t="shared" si="31"/>
        <v>#VALUE!</v>
      </c>
      <c r="BA32" s="61" t="e">
        <f t="shared" si="32"/>
        <v>#VALUE!</v>
      </c>
      <c r="BB32" s="61">
        <f t="shared" si="33"/>
        <v>0</v>
      </c>
      <c r="BC32" s="105"/>
      <c r="BD32" s="62" t="e">
        <f t="shared" si="34"/>
        <v>#VALUE!</v>
      </c>
      <c r="BE32" s="105"/>
      <c r="BF32" s="117" t="s">
        <v>58</v>
      </c>
    </row>
    <row r="33" spans="1:58">
      <c r="A33" s="59">
        <v>27</v>
      </c>
      <c r="B33" s="103"/>
      <c r="C33" s="104"/>
      <c r="D33" s="105"/>
      <c r="E33" s="104"/>
      <c r="F33" s="106"/>
      <c r="G33" s="107"/>
      <c r="H33" s="105"/>
      <c r="I33" s="105"/>
      <c r="J33" s="105"/>
      <c r="K33" s="105"/>
      <c r="L33" s="105"/>
      <c r="M33" s="105"/>
      <c r="N33" s="105"/>
      <c r="O33" s="105"/>
      <c r="P33" s="105"/>
      <c r="Q33" s="105"/>
      <c r="R33" s="105"/>
      <c r="S33" s="105"/>
      <c r="T33" s="105"/>
      <c r="U33" s="105"/>
      <c r="V33" s="105"/>
      <c r="W33" s="105"/>
      <c r="X33" s="105"/>
      <c r="Y33" s="105"/>
      <c r="Z33" s="105"/>
      <c r="AA33" s="105"/>
      <c r="AB33" s="105"/>
      <c r="AC33" s="105"/>
      <c r="AD33" s="105"/>
      <c r="AE33" s="105"/>
      <c r="AF33" s="105"/>
      <c r="AG33" s="105"/>
      <c r="AH33" s="105"/>
      <c r="AI33" s="105"/>
      <c r="AJ33" s="105"/>
      <c r="AK33" s="105"/>
      <c r="AL33" s="97"/>
      <c r="AM33" s="60">
        <f t="shared" si="21"/>
        <v>0</v>
      </c>
      <c r="AN33" s="61">
        <f t="shared" si="22"/>
        <v>0</v>
      </c>
      <c r="AO33" s="100">
        <f t="shared" si="23"/>
        <v>0</v>
      </c>
      <c r="AP33" s="100">
        <f t="shared" si="24"/>
        <v>0</v>
      </c>
      <c r="AQ33" s="61">
        <f t="shared" si="25"/>
        <v>0</v>
      </c>
      <c r="AR33" s="61">
        <f t="shared" si="26"/>
        <v>0</v>
      </c>
      <c r="AS33" s="61" t="e">
        <f t="shared" si="27"/>
        <v>#VALUE!</v>
      </c>
      <c r="AT33" s="105"/>
      <c r="AU33" s="105"/>
      <c r="AV33" s="61" t="e">
        <f t="shared" si="28"/>
        <v>#VALUE!</v>
      </c>
      <c r="AW33" s="61" t="e">
        <f t="shared" si="29"/>
        <v>#VALUE!</v>
      </c>
      <c r="AX33" s="61" t="e">
        <f t="shared" si="4"/>
        <v>#VALUE!</v>
      </c>
      <c r="AY33" s="61" t="e">
        <f t="shared" si="30"/>
        <v>#VALUE!</v>
      </c>
      <c r="AZ33" s="61" t="e">
        <f t="shared" si="31"/>
        <v>#VALUE!</v>
      </c>
      <c r="BA33" s="61" t="e">
        <f t="shared" si="32"/>
        <v>#VALUE!</v>
      </c>
      <c r="BB33" s="61">
        <f t="shared" si="33"/>
        <v>0</v>
      </c>
      <c r="BC33" s="105"/>
      <c r="BD33" s="62" t="e">
        <f t="shared" si="34"/>
        <v>#VALUE!</v>
      </c>
      <c r="BE33" s="105"/>
      <c r="BF33" s="117" t="s">
        <v>58</v>
      </c>
    </row>
    <row r="34" spans="1:58">
      <c r="A34" s="59">
        <v>28</v>
      </c>
      <c r="B34" s="103"/>
      <c r="C34" s="104"/>
      <c r="D34" s="105"/>
      <c r="E34" s="104"/>
      <c r="F34" s="106"/>
      <c r="G34" s="107"/>
      <c r="H34" s="105"/>
      <c r="I34" s="105"/>
      <c r="J34" s="105"/>
      <c r="K34" s="105"/>
      <c r="L34" s="105"/>
      <c r="M34" s="105"/>
      <c r="N34" s="105"/>
      <c r="O34" s="105"/>
      <c r="P34" s="105"/>
      <c r="Q34" s="105"/>
      <c r="R34" s="105"/>
      <c r="S34" s="105"/>
      <c r="T34" s="105"/>
      <c r="U34" s="105"/>
      <c r="V34" s="105"/>
      <c r="W34" s="105"/>
      <c r="X34" s="105"/>
      <c r="Y34" s="105"/>
      <c r="Z34" s="105"/>
      <c r="AA34" s="105"/>
      <c r="AB34" s="105"/>
      <c r="AC34" s="105"/>
      <c r="AD34" s="105"/>
      <c r="AE34" s="105"/>
      <c r="AF34" s="105"/>
      <c r="AG34" s="105"/>
      <c r="AH34" s="105"/>
      <c r="AI34" s="105"/>
      <c r="AJ34" s="105"/>
      <c r="AK34" s="105"/>
      <c r="AL34" s="97"/>
      <c r="AM34" s="60">
        <f t="shared" si="21"/>
        <v>0</v>
      </c>
      <c r="AN34" s="61">
        <f t="shared" si="22"/>
        <v>0</v>
      </c>
      <c r="AO34" s="100">
        <f t="shared" si="23"/>
        <v>0</v>
      </c>
      <c r="AP34" s="100">
        <f t="shared" si="24"/>
        <v>0</v>
      </c>
      <c r="AQ34" s="61">
        <f t="shared" si="25"/>
        <v>0</v>
      </c>
      <c r="AR34" s="61">
        <f t="shared" si="26"/>
        <v>0</v>
      </c>
      <c r="AS34" s="61" t="e">
        <f t="shared" si="27"/>
        <v>#VALUE!</v>
      </c>
      <c r="AT34" s="105"/>
      <c r="AU34" s="105"/>
      <c r="AV34" s="61" t="e">
        <f t="shared" si="28"/>
        <v>#VALUE!</v>
      </c>
      <c r="AW34" s="61" t="e">
        <f t="shared" si="29"/>
        <v>#VALUE!</v>
      </c>
      <c r="AX34" s="61" t="e">
        <f t="shared" si="4"/>
        <v>#VALUE!</v>
      </c>
      <c r="AY34" s="61" t="e">
        <f t="shared" si="30"/>
        <v>#VALUE!</v>
      </c>
      <c r="AZ34" s="61" t="e">
        <f t="shared" si="31"/>
        <v>#VALUE!</v>
      </c>
      <c r="BA34" s="61" t="e">
        <f t="shared" si="32"/>
        <v>#VALUE!</v>
      </c>
      <c r="BB34" s="61">
        <f t="shared" si="33"/>
        <v>0</v>
      </c>
      <c r="BC34" s="105"/>
      <c r="BD34" s="62" t="e">
        <f t="shared" si="34"/>
        <v>#VALUE!</v>
      </c>
      <c r="BE34" s="105"/>
      <c r="BF34" s="117" t="s">
        <v>58</v>
      </c>
    </row>
    <row r="35" spans="1:58">
      <c r="A35" s="59">
        <v>29</v>
      </c>
      <c r="B35" s="103"/>
      <c r="C35" s="104"/>
      <c r="D35" s="105"/>
      <c r="E35" s="104"/>
      <c r="F35" s="106"/>
      <c r="G35" s="107"/>
      <c r="H35" s="105"/>
      <c r="I35" s="105"/>
      <c r="J35" s="105"/>
      <c r="K35" s="105"/>
      <c r="L35" s="105"/>
      <c r="M35" s="105"/>
      <c r="N35" s="105"/>
      <c r="O35" s="105"/>
      <c r="P35" s="105"/>
      <c r="Q35" s="105"/>
      <c r="R35" s="105"/>
      <c r="S35" s="105"/>
      <c r="T35" s="105"/>
      <c r="U35" s="105"/>
      <c r="V35" s="105"/>
      <c r="W35" s="105"/>
      <c r="X35" s="105"/>
      <c r="Y35" s="105"/>
      <c r="Z35" s="105"/>
      <c r="AA35" s="105"/>
      <c r="AB35" s="105"/>
      <c r="AC35" s="105"/>
      <c r="AD35" s="105"/>
      <c r="AE35" s="105"/>
      <c r="AF35" s="105"/>
      <c r="AG35" s="105"/>
      <c r="AH35" s="105"/>
      <c r="AI35" s="105"/>
      <c r="AJ35" s="105"/>
      <c r="AK35" s="105"/>
      <c r="AL35" s="97"/>
      <c r="AM35" s="60">
        <f t="shared" si="21"/>
        <v>0</v>
      </c>
      <c r="AN35" s="61">
        <f t="shared" si="22"/>
        <v>0</v>
      </c>
      <c r="AO35" s="100">
        <f t="shared" si="23"/>
        <v>0</v>
      </c>
      <c r="AP35" s="100">
        <f t="shared" si="24"/>
        <v>0</v>
      </c>
      <c r="AQ35" s="61">
        <f t="shared" si="25"/>
        <v>0</v>
      </c>
      <c r="AR35" s="61">
        <f t="shared" si="26"/>
        <v>0</v>
      </c>
      <c r="AS35" s="61" t="e">
        <f t="shared" si="27"/>
        <v>#VALUE!</v>
      </c>
      <c r="AT35" s="105"/>
      <c r="AU35" s="105"/>
      <c r="AV35" s="61" t="e">
        <f t="shared" si="28"/>
        <v>#VALUE!</v>
      </c>
      <c r="AW35" s="61" t="e">
        <f t="shared" si="29"/>
        <v>#VALUE!</v>
      </c>
      <c r="AX35" s="61" t="e">
        <f t="shared" si="4"/>
        <v>#VALUE!</v>
      </c>
      <c r="AY35" s="61" t="e">
        <f t="shared" si="30"/>
        <v>#VALUE!</v>
      </c>
      <c r="AZ35" s="61" t="e">
        <f t="shared" si="31"/>
        <v>#VALUE!</v>
      </c>
      <c r="BA35" s="61" t="e">
        <f t="shared" si="32"/>
        <v>#VALUE!</v>
      </c>
      <c r="BB35" s="61">
        <f t="shared" si="33"/>
        <v>0</v>
      </c>
      <c r="BC35" s="105"/>
      <c r="BD35" s="62" t="e">
        <f t="shared" si="34"/>
        <v>#VALUE!</v>
      </c>
      <c r="BE35" s="105"/>
      <c r="BF35" s="117" t="s">
        <v>58</v>
      </c>
    </row>
    <row r="36" spans="1:58">
      <c r="A36" s="59">
        <v>30</v>
      </c>
      <c r="B36" s="103"/>
      <c r="C36" s="104"/>
      <c r="D36" s="105"/>
      <c r="E36" s="104"/>
      <c r="F36" s="106"/>
      <c r="G36" s="107"/>
      <c r="H36" s="105"/>
      <c r="I36" s="105"/>
      <c r="J36" s="105"/>
      <c r="K36" s="105"/>
      <c r="L36" s="105"/>
      <c r="M36" s="105"/>
      <c r="N36" s="105"/>
      <c r="O36" s="105"/>
      <c r="P36" s="105"/>
      <c r="Q36" s="105"/>
      <c r="R36" s="105"/>
      <c r="S36" s="105"/>
      <c r="T36" s="105"/>
      <c r="U36" s="105"/>
      <c r="V36" s="105"/>
      <c r="W36" s="105"/>
      <c r="X36" s="105"/>
      <c r="Y36" s="105"/>
      <c r="Z36" s="105"/>
      <c r="AA36" s="105"/>
      <c r="AB36" s="105"/>
      <c r="AC36" s="105"/>
      <c r="AD36" s="105"/>
      <c r="AE36" s="105"/>
      <c r="AF36" s="105"/>
      <c r="AG36" s="105"/>
      <c r="AH36" s="105"/>
      <c r="AI36" s="105"/>
      <c r="AJ36" s="105"/>
      <c r="AK36" s="105"/>
      <c r="AL36" s="97"/>
      <c r="AM36" s="60">
        <f t="shared" si="21"/>
        <v>0</v>
      </c>
      <c r="AN36" s="61">
        <f t="shared" si="22"/>
        <v>0</v>
      </c>
      <c r="AO36" s="100">
        <f t="shared" si="23"/>
        <v>0</v>
      </c>
      <c r="AP36" s="100">
        <f t="shared" si="24"/>
        <v>0</v>
      </c>
      <c r="AQ36" s="61">
        <f t="shared" si="25"/>
        <v>0</v>
      </c>
      <c r="AR36" s="61">
        <f t="shared" si="26"/>
        <v>0</v>
      </c>
      <c r="AS36" s="61" t="e">
        <f t="shared" si="27"/>
        <v>#VALUE!</v>
      </c>
      <c r="AT36" s="105"/>
      <c r="AU36" s="105"/>
      <c r="AV36" s="61" t="e">
        <f t="shared" si="28"/>
        <v>#VALUE!</v>
      </c>
      <c r="AW36" s="61" t="e">
        <f t="shared" si="29"/>
        <v>#VALUE!</v>
      </c>
      <c r="AX36" s="61" t="e">
        <f t="shared" si="4"/>
        <v>#VALUE!</v>
      </c>
      <c r="AY36" s="61" t="e">
        <f t="shared" si="30"/>
        <v>#VALUE!</v>
      </c>
      <c r="AZ36" s="61" t="e">
        <f t="shared" si="31"/>
        <v>#VALUE!</v>
      </c>
      <c r="BA36" s="61" t="e">
        <f t="shared" si="32"/>
        <v>#VALUE!</v>
      </c>
      <c r="BB36" s="61">
        <f t="shared" si="33"/>
        <v>0</v>
      </c>
      <c r="BC36" s="105"/>
      <c r="BD36" s="62" t="e">
        <f t="shared" si="34"/>
        <v>#VALUE!</v>
      </c>
      <c r="BE36" s="105"/>
      <c r="BF36" s="117" t="s">
        <v>58</v>
      </c>
    </row>
    <row r="38" spans="1:58">
      <c r="AQ38" s="82"/>
      <c r="AT38" s="82"/>
    </row>
    <row r="39" spans="1:58">
      <c r="AQ39" s="82"/>
      <c r="AT39" s="82"/>
    </row>
    <row r="40" spans="1:58">
      <c r="AQ40" s="82"/>
      <c r="AT40" s="82"/>
    </row>
    <row r="41" spans="1:58">
      <c r="AQ41" s="82"/>
      <c r="AT41" s="82"/>
    </row>
    <row r="42" spans="1:58">
      <c r="AQ42" s="82"/>
      <c r="AT42" s="82"/>
    </row>
    <row r="43" spans="1:58">
      <c r="AQ43" s="82"/>
      <c r="AT43" s="82"/>
    </row>
    <row r="44" spans="1:58">
      <c r="AQ44" s="82"/>
      <c r="AT44" s="82"/>
    </row>
    <row r="45" spans="1:58">
      <c r="AQ45" s="82"/>
      <c r="AT45" s="82"/>
    </row>
    <row r="46" spans="1:58">
      <c r="AQ46" s="82"/>
      <c r="AT46" s="82"/>
    </row>
    <row r="47" spans="1:58">
      <c r="AQ47" s="82"/>
      <c r="AT47" s="82"/>
    </row>
    <row r="48" spans="1:58">
      <c r="O48" s="11"/>
      <c r="P48" s="11"/>
      <c r="Q48" s="11"/>
      <c r="R48" s="11"/>
      <c r="S48" s="11"/>
      <c r="T48" s="11"/>
      <c r="AQ48" s="82"/>
      <c r="AT48" s="82"/>
    </row>
    <row r="49" spans="15:46">
      <c r="AQ49" s="82"/>
      <c r="AT49" s="82"/>
    </row>
    <row r="50" spans="15:46">
      <c r="AQ50" s="82"/>
      <c r="AT50" s="82"/>
    </row>
    <row r="51" spans="15:46">
      <c r="AQ51" s="82"/>
      <c r="AT51" s="82"/>
    </row>
    <row r="52" spans="15:46">
      <c r="O52" s="63"/>
      <c r="AQ52" s="82"/>
      <c r="AT52" s="82"/>
    </row>
    <row r="53" spans="15:46">
      <c r="Q53" s="63"/>
      <c r="AQ53" s="82"/>
      <c r="AT53" s="82"/>
    </row>
    <row r="54" spans="15:46">
      <c r="AT54" s="82"/>
    </row>
  </sheetData>
  <sheetProtection algorithmName="SHA-512" hashValue="+4CGloVS/iU90GNGlXQxJaarLMl7jn0iGRWeQ584GxY138KSrI/1NLLLgDioj2mjqysd1SpYcsnjBnZkKBSmAw==" saltValue="OD6ilBaPr0n3tMWUGPc/bA==" spinCount="100000" sheet="1" insertRows="0" autoFilter="0"/>
  <autoFilter ref="A5:BE5" xr:uid="{C7669648-146F-44A1-AE51-C0A425AB3F46}"/>
  <mergeCells count="2">
    <mergeCell ref="A2:B2"/>
    <mergeCell ref="G2:AL2"/>
  </mergeCells>
  <conditionalFormatting sqref="G5:AL5">
    <cfRule type="containsText" dxfId="23" priority="8" operator="containsText" text="RH">
      <formula>NOT(ISERROR(SEARCH("RH",G5)))</formula>
    </cfRule>
  </conditionalFormatting>
  <conditionalFormatting sqref="G6:AL6">
    <cfRule type="expression" dxfId="22" priority="7">
      <formula>$G$4:$AL$4=""</formula>
    </cfRule>
  </conditionalFormatting>
  <conditionalFormatting sqref="G4:AL4">
    <cfRule type="expression" dxfId="21" priority="6">
      <formula>$G$4:$AL$4&gt;"$D$2"</formula>
    </cfRule>
  </conditionalFormatting>
  <conditionalFormatting sqref="AI4">
    <cfRule type="expression" dxfId="20" priority="5">
      <formula>$AI$4&gt;$D$2</formula>
    </cfRule>
  </conditionalFormatting>
  <conditionalFormatting sqref="AJ4">
    <cfRule type="expression" dxfId="19" priority="4">
      <formula>$AJ$4&gt;$D$2</formula>
    </cfRule>
  </conditionalFormatting>
  <conditionalFormatting sqref="AK4">
    <cfRule type="expression" dxfId="18" priority="3">
      <formula>$AK$4&gt;$D$2</formula>
    </cfRule>
  </conditionalFormatting>
  <conditionalFormatting sqref="AL4">
    <cfRule type="expression" dxfId="17" priority="2">
      <formula>$AL$4&gt;$D$2</formula>
    </cfRule>
  </conditionalFormatting>
  <conditionalFormatting sqref="G7:AL36">
    <cfRule type="expression" dxfId="16" priority="1">
      <formula>$G$4:$AL$4=""</formula>
    </cfRule>
  </conditionalFormatting>
  <dataValidations count="2">
    <dataValidation type="list" allowBlank="1" showInputMessage="1" showErrorMessage="1" sqref="C2" xr:uid="{48F6E634-619C-49A2-BCCC-5E40B71EFFD8}">
      <formula1>CN_Date</formula1>
    </dataValidation>
    <dataValidation type="list" allowBlank="1" showInputMessage="1" showErrorMessage="1" sqref="G6:AL36" xr:uid="{2F0D185D-9B2E-4383-9F4F-E45DE823DE0B}">
      <formula1>Prod_BAPS</formula1>
    </dataValidation>
  </dataValidations>
  <pageMargins left="0.7" right="0.7" top="0.75" bottom="0.75" header="0.3" footer="0.3"/>
  <pageSetup paperSize="9" orientation="portrait" horizontalDpi="1200" verticalDpi="1200" r:id="rId1"/>
  <headerFooter>
    <oddFooter>&amp;C&amp;1#&amp;"Arial"&amp;10&amp;K000000Internal</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8B8F6-9954-469F-8756-3EFB22043909}">
  <sheetPr codeName="Sheet10"/>
  <dimension ref="A1:BF53"/>
  <sheetViews>
    <sheetView zoomScale="80" zoomScaleNormal="80" workbookViewId="0">
      <pane xSplit="6" ySplit="5" topLeftCell="G6" activePane="bottomRight" state="frozen"/>
      <selection pane="topRight" activeCell="X3" sqref="X3:X5"/>
      <selection pane="bottomLeft" activeCell="X3" sqref="X3:X5"/>
      <selection pane="bottomRight" activeCell="C2" sqref="C2"/>
    </sheetView>
  </sheetViews>
  <sheetFormatPr defaultColWidth="9.109375" defaultRowHeight="14.4"/>
  <cols>
    <col min="1" max="1" width="7.109375" style="8" customWidth="1"/>
    <col min="2" max="2" width="15.44140625" style="8" customWidth="1"/>
    <col min="3" max="4" width="15.44140625" style="8" bestFit="1" customWidth="1"/>
    <col min="5" max="6" width="11.5546875" style="8" customWidth="1"/>
    <col min="7" max="38" width="8.5546875" style="8" customWidth="1"/>
    <col min="39" max="41" width="9.109375" style="8"/>
    <col min="42" max="44" width="9.109375" style="8" hidden="1" customWidth="1"/>
    <col min="45" max="45" width="9.109375" style="8"/>
    <col min="46" max="47" width="26.88671875" style="8" customWidth="1"/>
    <col min="48" max="55" width="13.5546875" style="8" customWidth="1"/>
    <col min="56" max="56" width="18.5546875" style="8" bestFit="1" customWidth="1"/>
    <col min="57" max="57" width="14.44140625" style="8" customWidth="1"/>
    <col min="58" max="58" width="16.5546875" style="8" bestFit="1" customWidth="1"/>
    <col min="59" max="16384" width="9.109375" style="8"/>
  </cols>
  <sheetData>
    <row r="1" spans="1:58" ht="18.600000000000001" thickBot="1">
      <c r="A1" s="83" t="s">
        <v>63</v>
      </c>
    </row>
    <row r="2" spans="1:58" ht="47.25" customHeight="1" thickBot="1">
      <c r="A2" s="198" t="s">
        <v>64</v>
      </c>
      <c r="B2" s="199"/>
      <c r="C2" s="102" t="s">
        <v>92</v>
      </c>
      <c r="D2" s="33" t="e">
        <f>EOMONTH(C2,0)</f>
        <v>#VALUE!</v>
      </c>
      <c r="G2" s="210" t="s">
        <v>132</v>
      </c>
      <c r="H2" s="211"/>
      <c r="I2" s="211"/>
      <c r="J2" s="211"/>
      <c r="K2" s="211"/>
      <c r="L2" s="211"/>
      <c r="M2" s="211"/>
      <c r="N2" s="211"/>
      <c r="O2" s="211"/>
      <c r="P2" s="211"/>
      <c r="Q2" s="211"/>
      <c r="R2" s="211"/>
      <c r="S2" s="211"/>
      <c r="T2" s="211"/>
      <c r="U2" s="211"/>
      <c r="V2" s="211"/>
      <c r="W2" s="211"/>
      <c r="X2" s="211"/>
      <c r="Y2" s="211"/>
      <c r="Z2" s="211"/>
      <c r="AA2" s="211"/>
      <c r="AB2" s="211"/>
      <c r="AC2" s="211"/>
      <c r="AD2" s="211"/>
      <c r="AE2" s="211"/>
      <c r="AF2" s="211"/>
      <c r="AG2" s="211"/>
      <c r="AH2" s="211"/>
      <c r="AI2" s="211"/>
      <c r="AJ2" s="211"/>
      <c r="AK2" s="211"/>
      <c r="AL2" s="212"/>
    </row>
    <row r="3" spans="1:58" ht="15" thickBot="1">
      <c r="F3" s="10"/>
      <c r="G3" s="34" t="s">
        <v>88</v>
      </c>
      <c r="H3" s="10"/>
      <c r="I3" s="10"/>
      <c r="J3" s="10"/>
      <c r="K3" s="10"/>
      <c r="L3" s="10"/>
      <c r="M3" s="10"/>
      <c r="N3" s="10"/>
      <c r="O3" s="10"/>
      <c r="P3" s="10"/>
      <c r="Q3" s="10"/>
      <c r="R3" s="10"/>
      <c r="S3" s="10"/>
      <c r="T3" s="10"/>
      <c r="U3" s="10"/>
      <c r="V3" s="10"/>
      <c r="W3" s="10"/>
      <c r="X3" s="10"/>
      <c r="Y3" s="10"/>
      <c r="Z3" s="10"/>
      <c r="AA3" s="10"/>
      <c r="AB3" s="10"/>
      <c r="AC3" s="10"/>
      <c r="AD3" s="10"/>
      <c r="AE3" s="10"/>
      <c r="AF3" s="10"/>
      <c r="AG3" s="10"/>
      <c r="AH3" s="10"/>
    </row>
    <row r="4" spans="1:58" ht="85.5" customHeight="1">
      <c r="A4" s="35" t="s">
        <v>67</v>
      </c>
      <c r="B4" s="36" t="s">
        <v>68</v>
      </c>
      <c r="C4" s="13" t="s">
        <v>69</v>
      </c>
      <c r="D4" s="13" t="s">
        <v>94</v>
      </c>
      <c r="E4" s="13" t="s">
        <v>71</v>
      </c>
      <c r="F4" s="37" t="s">
        <v>72</v>
      </c>
      <c r="G4" s="38" t="e">
        <f>IF($C$2+0&gt;$D$2+1,"",$C$2+0)</f>
        <v>#VALUE!</v>
      </c>
      <c r="H4" s="39" t="e">
        <f>IF($C$2+1&gt;$D$2+1,"",$C$2+1)</f>
        <v>#VALUE!</v>
      </c>
      <c r="I4" s="39" t="e">
        <f>IF($C$2+2&gt;$D$2+1,"",$C$2+2)</f>
        <v>#VALUE!</v>
      </c>
      <c r="J4" s="39" t="e">
        <f>IF($C$2+3&gt;$D$2+1,"",$C$2+3)</f>
        <v>#VALUE!</v>
      </c>
      <c r="K4" s="39" t="e">
        <f>IF($C$2+4&gt;$D$2+1,"",$C$2+4)</f>
        <v>#VALUE!</v>
      </c>
      <c r="L4" s="39" t="e">
        <f>IF($C$2+5&gt;$D$2+1,"",$C$2+5)</f>
        <v>#VALUE!</v>
      </c>
      <c r="M4" s="39" t="e">
        <f>IF($C$2+6&gt;$D$2+1,"",$C$2+6)</f>
        <v>#VALUE!</v>
      </c>
      <c r="N4" s="39" t="e">
        <f>IF($C$2+7&gt;$D$2+1,"",$C$2+7)</f>
        <v>#VALUE!</v>
      </c>
      <c r="O4" s="39" t="e">
        <f>IF($C$2+8&gt;$D$2+1,"",$C$2+8)</f>
        <v>#VALUE!</v>
      </c>
      <c r="P4" s="39" t="e">
        <f>IF($C$2+9&gt;$D$2+1,"",$C$2+9)</f>
        <v>#VALUE!</v>
      </c>
      <c r="Q4" s="39" t="e">
        <f>IF($C$2+10&gt;$D$2+1,"",$C$2+10)</f>
        <v>#VALUE!</v>
      </c>
      <c r="R4" s="39" t="e">
        <f>IF($C$2+11&gt;$D$2+1,"",$C$2+11)</f>
        <v>#VALUE!</v>
      </c>
      <c r="S4" s="39" t="e">
        <f>IF($C$2+12&gt;$D$2+1,"",$C$2+12)</f>
        <v>#VALUE!</v>
      </c>
      <c r="T4" s="39" t="e">
        <f>IF($C$2+13&gt;$D$2+1,"",$C$2+13)</f>
        <v>#VALUE!</v>
      </c>
      <c r="U4" s="39" t="e">
        <f>IF($C$2+14&gt;$D$2+1,"",$C$2+14)</f>
        <v>#VALUE!</v>
      </c>
      <c r="V4" s="39" t="e">
        <f>IF($C$2+15&gt;$D$2+1,"",$C$2+15)</f>
        <v>#VALUE!</v>
      </c>
      <c r="W4" s="39" t="e">
        <f>IF($C$2+16&gt;$D$2+1,"",$C$2+16)</f>
        <v>#VALUE!</v>
      </c>
      <c r="X4" s="39" t="e">
        <f>IF($C$2+17&gt;$D$2+1,"",$C$2+17)</f>
        <v>#VALUE!</v>
      </c>
      <c r="Y4" s="39" t="e">
        <f>IF($C$2+18&gt;$D$2+1,"",$C$2+18)</f>
        <v>#VALUE!</v>
      </c>
      <c r="Z4" s="39" t="e">
        <f>IF($C$2+19&gt;$D$2+1,"",$C$2+19)</f>
        <v>#VALUE!</v>
      </c>
      <c r="AA4" s="39" t="e">
        <f>IF($C$2+20&gt;$D$2+1,"",$C$2+20)</f>
        <v>#VALUE!</v>
      </c>
      <c r="AB4" s="39" t="e">
        <f>IF($C$2+21&gt;$D$2+1,"",$C$2+21)</f>
        <v>#VALUE!</v>
      </c>
      <c r="AC4" s="39" t="e">
        <f>IF($C$2+22&gt;$D$2+1,"",$C$2+22)</f>
        <v>#VALUE!</v>
      </c>
      <c r="AD4" s="39" t="e">
        <f>IF($C$2+23&gt;$D$2+1,"",$C$2+23)</f>
        <v>#VALUE!</v>
      </c>
      <c r="AE4" s="39" t="e">
        <f>IF($C$2+24&gt;$D$2+1,"",$C$2+24)</f>
        <v>#VALUE!</v>
      </c>
      <c r="AF4" s="39" t="e">
        <f>IF($C$2+25&gt;$D$2+1,"",$C$2+25)</f>
        <v>#VALUE!</v>
      </c>
      <c r="AG4" s="39" t="e">
        <f>IF($C$2+26&gt;$D$2+1,"",$C$2+26)</f>
        <v>#VALUE!</v>
      </c>
      <c r="AH4" s="39" t="e">
        <f>IF($C$2+27&gt;$D$2+1,"",$C$2+27)</f>
        <v>#VALUE!</v>
      </c>
      <c r="AI4" s="39" t="e">
        <f>IF($C$2+28&gt;$D$2+1,"",$C$2+28)</f>
        <v>#VALUE!</v>
      </c>
      <c r="AJ4" s="39" t="e">
        <f>IF($C$2+29&gt;$D$2+1,"",$C$2+29)</f>
        <v>#VALUE!</v>
      </c>
      <c r="AK4" s="39" t="e">
        <f>IF($C$2+30&gt;$D$2+1,"",$C$2+30)</f>
        <v>#VALUE!</v>
      </c>
      <c r="AL4" s="40" t="e">
        <f>IF($C$2+31&gt;$D$2+1,"",$C$2+31)</f>
        <v>#VALUE!</v>
      </c>
      <c r="AM4" s="12" t="s">
        <v>95</v>
      </c>
      <c r="AN4" s="13" t="s">
        <v>96</v>
      </c>
      <c r="AO4" s="13" t="s">
        <v>97</v>
      </c>
      <c r="AP4" s="13"/>
      <c r="AQ4" s="13"/>
      <c r="AR4" s="13"/>
      <c r="AS4" s="13" t="s">
        <v>98</v>
      </c>
      <c r="AT4" s="13" t="s">
        <v>99</v>
      </c>
      <c r="AU4" s="13" t="s">
        <v>100</v>
      </c>
      <c r="AV4" s="13" t="s">
        <v>101</v>
      </c>
      <c r="AW4" s="13" t="s">
        <v>102</v>
      </c>
      <c r="AX4" s="13" t="s">
        <v>103</v>
      </c>
      <c r="AY4" s="13" t="s">
        <v>104</v>
      </c>
      <c r="AZ4" s="13" t="s">
        <v>105</v>
      </c>
      <c r="BA4" s="13" t="s">
        <v>106</v>
      </c>
      <c r="BB4" s="13" t="s">
        <v>107</v>
      </c>
      <c r="BC4" s="13" t="s">
        <v>75</v>
      </c>
      <c r="BD4" s="13" t="s">
        <v>78</v>
      </c>
      <c r="BE4" s="13" t="s">
        <v>108</v>
      </c>
      <c r="BF4" s="112" t="s">
        <v>109</v>
      </c>
    </row>
    <row r="5" spans="1:58" ht="15" thickBot="1">
      <c r="A5" s="41"/>
      <c r="B5" s="42"/>
      <c r="C5" s="43"/>
      <c r="D5" s="43"/>
      <c r="E5" s="43"/>
      <c r="F5" s="44"/>
      <c r="G5" s="45" t="str">
        <f>IFERROR(HLOOKUP(G4,Reference!1:2,2,0),"")</f>
        <v/>
      </c>
      <c r="H5" s="46" t="str">
        <f>IFERROR(HLOOKUP(H4,Reference!1:2,2,0),"")</f>
        <v/>
      </c>
      <c r="I5" s="46" t="str">
        <f>IFERROR(HLOOKUP(I4,Reference!1:2,2,0),"")</f>
        <v/>
      </c>
      <c r="J5" s="46" t="str">
        <f>IFERROR(HLOOKUP(J4,Reference!1:2,2,0),"")</f>
        <v/>
      </c>
      <c r="K5" s="46" t="str">
        <f>IFERROR(HLOOKUP(K4,Reference!1:2,2,0),"")</f>
        <v/>
      </c>
      <c r="L5" s="46" t="str">
        <f>IFERROR(HLOOKUP(L4,Reference!1:2,2,0),"")</f>
        <v/>
      </c>
      <c r="M5" s="46" t="str">
        <f>IFERROR(HLOOKUP(M4,Reference!1:2,2,0),"")</f>
        <v/>
      </c>
      <c r="N5" s="46" t="str">
        <f>IFERROR(HLOOKUP(N4,Reference!1:2,2,0),"")</f>
        <v/>
      </c>
      <c r="O5" s="46" t="str">
        <f>IFERROR(HLOOKUP(O4,Reference!1:2,2,0),"")</f>
        <v/>
      </c>
      <c r="P5" s="46" t="str">
        <f>IFERROR(HLOOKUP(P4,Reference!1:2,2,0),"")</f>
        <v/>
      </c>
      <c r="Q5" s="46" t="str">
        <f>IFERROR(HLOOKUP(Q4,Reference!1:2,2,0),"")</f>
        <v/>
      </c>
      <c r="R5" s="46" t="str">
        <f>IFERROR(HLOOKUP(R4,Reference!1:2,2,0),"")</f>
        <v/>
      </c>
      <c r="S5" s="46" t="str">
        <f>IFERROR(HLOOKUP(S4,Reference!1:2,2,0),"")</f>
        <v/>
      </c>
      <c r="T5" s="46" t="str">
        <f>IFERROR(HLOOKUP(T4,Reference!1:2,2,0),"")</f>
        <v/>
      </c>
      <c r="U5" s="46" t="str">
        <f>IFERROR(HLOOKUP(U4,Reference!1:2,2,0),"")</f>
        <v/>
      </c>
      <c r="V5" s="46" t="str">
        <f>IFERROR(HLOOKUP(V4,Reference!1:2,2,0),"")</f>
        <v/>
      </c>
      <c r="W5" s="46" t="str">
        <f>IFERROR(HLOOKUP(W4,Reference!1:2,2,0),"")</f>
        <v/>
      </c>
      <c r="X5" s="46" t="str">
        <f>IFERROR(HLOOKUP(X4,Reference!1:2,2,0),"")</f>
        <v/>
      </c>
      <c r="Y5" s="46" t="str">
        <f>IFERROR(HLOOKUP(Y4,Reference!1:2,2,0),"")</f>
        <v/>
      </c>
      <c r="Z5" s="46" t="str">
        <f>IFERROR(HLOOKUP(Z4,Reference!1:2,2,0),"")</f>
        <v/>
      </c>
      <c r="AA5" s="46" t="str">
        <f>IFERROR(HLOOKUP(AA4,Reference!1:2,2,0),"")</f>
        <v/>
      </c>
      <c r="AB5" s="46" t="str">
        <f>IFERROR(HLOOKUP(AB4,Reference!1:2,2,0),"")</f>
        <v/>
      </c>
      <c r="AC5" s="46" t="str">
        <f>IFERROR(HLOOKUP(AC4,Reference!1:2,2,0),"")</f>
        <v/>
      </c>
      <c r="AD5" s="46" t="str">
        <f>IFERROR(HLOOKUP(AD4,Reference!1:2,2,0),"")</f>
        <v/>
      </c>
      <c r="AE5" s="46" t="str">
        <f>IFERROR(HLOOKUP(AE4,Reference!1:2,2,0),"")</f>
        <v/>
      </c>
      <c r="AF5" s="46" t="str">
        <f>IFERROR(HLOOKUP(AF4,Reference!1:2,2,0),"")</f>
        <v/>
      </c>
      <c r="AG5" s="46" t="str">
        <f>IFERROR(HLOOKUP(AG4,Reference!1:2,2,0),"")</f>
        <v/>
      </c>
      <c r="AH5" s="46" t="str">
        <f>IFERROR(HLOOKUP(AH4,Reference!1:2,2,0),"")</f>
        <v/>
      </c>
      <c r="AI5" s="46" t="str">
        <f>IFERROR(HLOOKUP(AI4,Reference!1:2,2,0),"")</f>
        <v/>
      </c>
      <c r="AJ5" s="46" t="str">
        <f>IFERROR(HLOOKUP(AJ4,Reference!1:2,2,0),"")</f>
        <v/>
      </c>
      <c r="AK5" s="46" t="str">
        <f>IFERROR(HLOOKUP(AK4,Reference!1:2,2,0),"")</f>
        <v/>
      </c>
      <c r="AL5" s="47" t="str">
        <f>IFERROR(HLOOKUP(AL4,Reference!1:2,2,0),"")</f>
        <v/>
      </c>
      <c r="AM5" s="48"/>
      <c r="AN5" s="43"/>
      <c r="AO5" s="43"/>
      <c r="AP5" s="43"/>
      <c r="AQ5" s="43"/>
      <c r="AR5" s="43"/>
      <c r="AS5" s="43"/>
      <c r="AT5" s="43"/>
      <c r="AU5" s="43"/>
      <c r="AV5" s="43"/>
      <c r="AW5" s="43"/>
      <c r="AX5" s="43"/>
      <c r="AY5" s="43"/>
      <c r="AZ5" s="43"/>
      <c r="BA5" s="43"/>
      <c r="BB5" s="43"/>
      <c r="BC5" s="43"/>
      <c r="BD5" s="49"/>
      <c r="BE5" s="43"/>
      <c r="BF5" s="113"/>
    </row>
    <row r="6" spans="1:58">
      <c r="A6" s="50">
        <v>0</v>
      </c>
      <c r="B6" s="51">
        <v>12345</v>
      </c>
      <c r="C6" s="110" t="s">
        <v>89</v>
      </c>
      <c r="D6" s="52">
        <v>105</v>
      </c>
      <c r="E6" s="110"/>
      <c r="F6" s="53"/>
      <c r="G6" s="54" t="s">
        <v>110</v>
      </c>
      <c r="H6" s="52" t="s">
        <v>110</v>
      </c>
      <c r="I6" s="52"/>
      <c r="J6" s="52" t="s">
        <v>111</v>
      </c>
      <c r="K6" s="52" t="s">
        <v>112</v>
      </c>
      <c r="L6" s="52" t="s">
        <v>110</v>
      </c>
      <c r="M6" s="52"/>
      <c r="N6" s="52"/>
      <c r="O6" s="52" t="s">
        <v>110</v>
      </c>
      <c r="P6" s="52" t="s">
        <v>110</v>
      </c>
      <c r="Q6" s="52"/>
      <c r="R6" s="52"/>
      <c r="S6" s="52" t="s">
        <v>110</v>
      </c>
      <c r="T6" s="52" t="s">
        <v>110</v>
      </c>
      <c r="U6" s="52"/>
      <c r="V6" s="52"/>
      <c r="W6" s="52" t="s">
        <v>110</v>
      </c>
      <c r="X6" s="52" t="s">
        <v>110</v>
      </c>
      <c r="Y6" s="52" t="s">
        <v>110</v>
      </c>
      <c r="Z6" s="52"/>
      <c r="AA6" s="52" t="s">
        <v>110</v>
      </c>
      <c r="AB6" s="52" t="s">
        <v>110</v>
      </c>
      <c r="AC6" s="52"/>
      <c r="AD6" s="52" t="s">
        <v>111</v>
      </c>
      <c r="AE6" s="52" t="s">
        <v>111</v>
      </c>
      <c r="AF6" s="52" t="s">
        <v>111</v>
      </c>
      <c r="AG6" s="52"/>
      <c r="AH6" s="52"/>
      <c r="AI6" s="52"/>
      <c r="AJ6" s="52"/>
      <c r="AK6" s="52"/>
      <c r="AL6" s="55"/>
      <c r="AM6" s="56">
        <f t="shared" ref="AM6" si="0">COUNTIFS(G6:AK6,"日",$G$4:$AK$4,"&lt;="&amp;$D$2)*12</f>
        <v>48</v>
      </c>
      <c r="AN6" s="57">
        <f t="shared" ref="AN6" si="1">COUNTIFS(G6:AK6,"夜",$G$4:$AK$4,"&lt;="&amp;$D$2)*12</f>
        <v>144</v>
      </c>
      <c r="AO6" s="57">
        <f t="shared" ref="AO6" si="2">COUNTIFS(G6:AK6,"常",$G$4:$AK$4,"&lt;="&amp;$D$2)*8</f>
        <v>8</v>
      </c>
      <c r="AP6" s="61"/>
      <c r="AQ6" s="61"/>
      <c r="AR6" s="61"/>
      <c r="AS6" s="57" t="e">
        <f t="shared" ref="AS6" si="3">COUNTIFS(G6:AK6,"日",$G$4:$AK$4,"&lt;="&amp;$D$2,$G$5:$AK$5,"PH")*12+COUNTIFS(G6:AK6,"常",$G$4:$AK$4,"&lt;="&amp;$D$2,$G$5:$AK$5,"PH")*8+COUNTIFS(G6:AK6,"夜",$G$4:$AK$4,"&lt;="&amp;$D$2,$G$5:$AK$5,"PH")*3.5+
IF(AND(G6="夜",$H$5="PH",$G$4&lt;=$D$2),8.5,0)+IF(AND(H6="夜",$I$5="PH",$H$4&lt;=$D$2),8.5,0)+IF(AND(I6="夜",$J$5="PH",$I$4&lt;=$D$2),8.5,0)+IF(AND(J6="夜",$K$5="PH",$J$4&lt;=$D$2),8.5,0)+IF(AND(K6="夜",$L$5="PH",$K$4&lt;=$D$2),8.5,0)+IF(AND(L6="夜",$M$5="PH",$L$4&lt;=$D$2),8.5,0)+IF(AND(M6="夜",$N$5="PH",$M$4&lt;=$D$2),8.5,0)+IF(AND(N6="夜",$O$5="PH",$N$4&lt;=$D$2),8.5,0)+IF(AND(O6="夜",$P$5="PH",$O$4&lt;=$D$2),8.5,0)+IF(AND(P6="夜",$Q$5="PH",$P$4&lt;=$D$2),8.5,0)+IF(AND(Q6="夜",$R$5="PH",$Q$4&lt;=$D$2),8.5,0)+IF(AND(R6="夜",$S$5="PH",$R$4&lt;=$D$2),8.5,0)+IF(AND(S6="夜",$T$5="PH",$S$4&lt;=$D$2),8.5,0)+IF(AND(T6="夜",$U$5="PH",$T$4&lt;=$D$2),8.5,0)+IF(AND(U6="夜",$V$5="PH",$U$4&lt;=$D$2),8.5,0)+IF(AND(V6="夜",$W$5="PH",$V$4&lt;=$D$2),8.5,0)+IF(AND(W6="夜",$X$5="PH",$W$4&lt;=$D$2),8.5,0)+IF(AND(X6="夜",$Y$5="PH",$X$4&lt;=$D$2),8.5,0)+IF(AND(Y6="夜",$Z$5="PH",$Y$4&lt;=$D$2),8.5,0)+IF(AND(Z6="夜",$AA$5="PH",$Z$4&lt;=$D$2),8.5,0)+IF(AND(AA6="夜",$AB$5="PH",$AA$4&lt;=$D$2),8.5,0)+IF(AND(AB6="夜",$AC$5="PH",$AB$4&lt;=$D$2),8.5,0)+IF(AND(AC6="夜",$AD$5="PH",$AC$4&lt;=$D$2),8.5,0)+IF(AND(AD6="夜",$AE$5="PH",$AD$4&lt;=$D$2),8.5,0)+IF(AND(AE6="夜",$AF$5="PH",$AE$4&lt;=$D$2),8.5,0)+IF(AND(AF6="夜",$AG$5="PH",$AF$4&lt;=$D$2),8.5,0)+IF(AND(AG6="夜",$AH$5="PH",$AG$4&lt;=$D$2),8.5,0)+IF(AND(AH6="夜",$AI$5="PH",$AH$4&lt;=$D$2),8.5,0)+IF(AND(AI6="夜",$AJ$5="PH",$AI$4&lt;=$D$2),8.5,0)+IF(AND(AJ6="夜",$AK$5="PH",$AJ$4&lt;=$D$2),8.5,0)+IF(AND(AK6="夜",$AL$5="PH",$AK$4&lt;=$D$2),8.5,0)</f>
        <v>#VALUE!</v>
      </c>
      <c r="AT6" s="52"/>
      <c r="AU6" s="52"/>
      <c r="AV6" s="57" t="e">
        <f>SUM(AM6:AO6)-AS6+AT6</f>
        <v>#VALUE!</v>
      </c>
      <c r="AW6" s="57" t="e">
        <f t="shared" ref="AW6" si="4">AV6/8</f>
        <v>#VALUE!</v>
      </c>
      <c r="AX6" s="57" t="e">
        <f t="shared" ref="AX6:AX36" si="5">NETWORKDAYS($C$2,$D$2)</f>
        <v>#VALUE!</v>
      </c>
      <c r="AY6" s="57" t="e">
        <f t="shared" ref="AY6" si="6">ROUND(IF(AW6&gt;=AX6,AX6,AW6)*D6,2)</f>
        <v>#VALUE!</v>
      </c>
      <c r="AZ6" s="57" t="e">
        <f t="shared" ref="AZ6" si="7">ROUND(IF((AW6-AX6)*1.5*D6&lt;0,0,(AW6-AX6)*1.5*D6),2)</f>
        <v>#VALUE!</v>
      </c>
      <c r="BA6" s="57" t="e">
        <f t="shared" ref="BA6" si="8">ROUND(D6/8*(AS6+AU6)*3,2)</f>
        <v>#VALUE!</v>
      </c>
      <c r="BB6" s="57">
        <f t="shared" ref="BB6" si="9">COUNTIFS(G6:AK6,"日",$G$4:$AK$4,"&lt;="&amp;$D$2)*50+COUNTIFS(G6:AK6,"夜",$G$4:$AK$4,"&lt;="&amp;$D$2)*50</f>
        <v>800</v>
      </c>
      <c r="BC6" s="52">
        <v>500</v>
      </c>
      <c r="BD6" s="58" t="e">
        <f t="shared" ref="BD6" si="10">SUM(AY6:BC6)</f>
        <v>#VALUE!</v>
      </c>
      <c r="BE6" s="52"/>
      <c r="BF6" s="114" t="s">
        <v>60</v>
      </c>
    </row>
    <row r="7" spans="1:58">
      <c r="A7" s="59">
        <v>1</v>
      </c>
      <c r="B7" s="103"/>
      <c r="C7" s="104"/>
      <c r="D7" s="105"/>
      <c r="E7" s="104"/>
      <c r="F7" s="106"/>
      <c r="G7" s="107"/>
      <c r="H7" s="105"/>
      <c r="I7" s="105"/>
      <c r="J7" s="105"/>
      <c r="K7" s="105"/>
      <c r="L7" s="105"/>
      <c r="M7" s="105"/>
      <c r="N7" s="105"/>
      <c r="O7" s="105"/>
      <c r="P7" s="105"/>
      <c r="Q7" s="105"/>
      <c r="R7" s="105"/>
      <c r="S7" s="105"/>
      <c r="T7" s="105"/>
      <c r="U7" s="105"/>
      <c r="V7" s="105"/>
      <c r="W7" s="105"/>
      <c r="X7" s="105"/>
      <c r="Y7" s="105"/>
      <c r="Z7" s="105"/>
      <c r="AA7" s="105"/>
      <c r="AB7" s="105"/>
      <c r="AC7" s="105"/>
      <c r="AD7" s="105"/>
      <c r="AE7" s="105"/>
      <c r="AF7" s="105"/>
      <c r="AG7" s="105"/>
      <c r="AH7" s="105"/>
      <c r="AI7" s="105"/>
      <c r="AJ7" s="105"/>
      <c r="AK7" s="105"/>
      <c r="AL7" s="97"/>
      <c r="AM7" s="60">
        <f t="shared" ref="AM7:AM21" si="11">COUNTIFS(G7:AK7,"日",$G$4:$AK$4,"&lt;="&amp;$D$2)*12</f>
        <v>0</v>
      </c>
      <c r="AN7" s="61">
        <f t="shared" ref="AN7:AN21" si="12">COUNTIFS(G7:AK7,"夜",$G$4:$AK$4,"&lt;="&amp;$D$2)*12</f>
        <v>0</v>
      </c>
      <c r="AO7" s="61">
        <f t="shared" ref="AO7:AO21" si="13">COUNTIFS(G7:AK7,"常",$G$4:$AK$4,"&lt;="&amp;$D$2)*8</f>
        <v>0</v>
      </c>
      <c r="AP7" s="61"/>
      <c r="AQ7" s="61"/>
      <c r="AR7" s="61"/>
      <c r="AS7" s="61" t="e">
        <f t="shared" ref="AS7:AS21" si="14">COUNTIFS(G7:AK7,"日",$G$4:$AK$4,"&lt;="&amp;$D$2,$G$5:$AK$5,"PH")*12+COUNTIFS(G7:AK7,"常",$G$4:$AK$4,"&lt;="&amp;$D$2,$G$5:$AK$5,"PH")*8+COUNTIFS(G7:AK7,"夜",$G$4:$AK$4,"&lt;="&amp;$D$2,$G$5:$AK$5,"PH")*3.5+
IF(AND(G7="夜",$H$5="PH",$G$4&lt;=$D$2),8.5,0)+IF(AND(H7="夜",$I$5="PH",$H$4&lt;=$D$2),8.5,0)+IF(AND(I7="夜",$J$5="PH",$I$4&lt;=$D$2),8.5,0)+IF(AND(J7="夜",$K$5="PH",$J$4&lt;=$D$2),8.5,0)+IF(AND(K7="夜",$L$5="PH",$K$4&lt;=$D$2),8.5,0)+IF(AND(L7="夜",$M$5="PH",$L$4&lt;=$D$2),8.5,0)+IF(AND(M7="夜",$N$5="PH",$M$4&lt;=$D$2),8.5,0)+IF(AND(N7="夜",$O$5="PH",$N$4&lt;=$D$2),8.5,0)+IF(AND(O7="夜",$P$5="PH",$O$4&lt;=$D$2),8.5,0)+IF(AND(P7="夜",$Q$5="PH",$P$4&lt;=$D$2),8.5,0)+IF(AND(Q7="夜",$R$5="PH",$Q$4&lt;=$D$2),8.5,0)+IF(AND(R7="夜",$S$5="PH",$R$4&lt;=$D$2),8.5,0)+IF(AND(S7="夜",$T$5="PH",$S$4&lt;=$D$2),8.5,0)+IF(AND(T7="夜",$U$5="PH",$T$4&lt;=$D$2),8.5,0)+IF(AND(U7="夜",$V$5="PH",$U$4&lt;=$D$2),8.5,0)+IF(AND(V7="夜",$W$5="PH",$V$4&lt;=$D$2),8.5,0)+IF(AND(W7="夜",$X$5="PH",$W$4&lt;=$D$2),8.5,0)+IF(AND(X7="夜",$Y$5="PH",$X$4&lt;=$D$2),8.5,0)+IF(AND(Y7="夜",$Z$5="PH",$Y$4&lt;=$D$2),8.5,0)+IF(AND(Z7="夜",$AA$5="PH",$Z$4&lt;=$D$2),8.5,0)+IF(AND(AA7="夜",$AB$5="PH",$AA$4&lt;=$D$2),8.5,0)+IF(AND(AB7="夜",$AC$5="PH",$AB$4&lt;=$D$2),8.5,0)+IF(AND(AC7="夜",$AD$5="PH",$AC$4&lt;=$D$2),8.5,0)+IF(AND(AD7="夜",$AE$5="PH",$AD$4&lt;=$D$2),8.5,0)+IF(AND(AE7="夜",$AF$5="PH",$AE$4&lt;=$D$2),8.5,0)+IF(AND(AF7="夜",$AG$5="PH",$AF$4&lt;=$D$2),8.5,0)+IF(AND(AG7="夜",$AH$5="PH",$AG$4&lt;=$D$2),8.5,0)+IF(AND(AH7="夜",$AI$5="PH",$AH$4&lt;=$D$2),8.5,0)+IF(AND(AI7="夜",$AJ$5="PH",$AI$4&lt;=$D$2),8.5,0)+IF(AND(AJ7="夜",$AK$5="PH",$AJ$4&lt;=$D$2),8.5,0)+IF(AND(AK7="夜",$AL$5="PH",$AK$4&lt;=$D$2),8.5,0)</f>
        <v>#VALUE!</v>
      </c>
      <c r="AT7" s="105"/>
      <c r="AU7" s="105"/>
      <c r="AV7" s="61" t="e">
        <f t="shared" ref="AV7:AV8" si="15">SUM(AM7:AO7)-AS7+AT7</f>
        <v>#VALUE!</v>
      </c>
      <c r="AW7" s="61" t="e">
        <f t="shared" ref="AW7:AW21" si="16">AV7/8</f>
        <v>#VALUE!</v>
      </c>
      <c r="AX7" s="61" t="e">
        <f t="shared" si="5"/>
        <v>#VALUE!</v>
      </c>
      <c r="AY7" s="61" t="e">
        <f t="shared" ref="AY7:AY21" si="17">ROUND(IF(AW7&gt;=AX7,AX7,AW7)*D7,2)</f>
        <v>#VALUE!</v>
      </c>
      <c r="AZ7" s="61" t="e">
        <f t="shared" ref="AZ7:AZ21" si="18">ROUND(IF((AW7-AX7)*1.5*D7&lt;0,0,(AW7-AX7)*1.5*D7),2)</f>
        <v>#VALUE!</v>
      </c>
      <c r="BA7" s="61" t="e">
        <f t="shared" ref="BA7:BA21" si="19">ROUND(D7/8*(AS7+AU7)*3,2)</f>
        <v>#VALUE!</v>
      </c>
      <c r="BB7" s="61">
        <f t="shared" ref="BB7:BB21" si="20">COUNTIFS(G7:AK7,"日",$G$4:$AK$4,"&lt;="&amp;$D$2)*50+COUNTIFS(G7:AK7,"夜",$G$4:$AK$4,"&lt;="&amp;$D$2)*50</f>
        <v>0</v>
      </c>
      <c r="BC7" s="105"/>
      <c r="BD7" s="62" t="e">
        <f t="shared" ref="BD7:BD21" si="21">SUM(AY7:BC7)</f>
        <v>#VALUE!</v>
      </c>
      <c r="BE7" s="105"/>
      <c r="BF7" s="115" t="s">
        <v>60</v>
      </c>
    </row>
    <row r="8" spans="1:58">
      <c r="A8" s="59">
        <v>2</v>
      </c>
      <c r="B8" s="103"/>
      <c r="C8" s="104"/>
      <c r="D8" s="105"/>
      <c r="E8" s="104"/>
      <c r="F8" s="106"/>
      <c r="G8" s="107"/>
      <c r="H8" s="105"/>
      <c r="I8" s="105"/>
      <c r="J8" s="105"/>
      <c r="K8" s="105"/>
      <c r="L8" s="105"/>
      <c r="M8" s="105"/>
      <c r="N8" s="105"/>
      <c r="O8" s="105"/>
      <c r="P8" s="105"/>
      <c r="Q8" s="105"/>
      <c r="R8" s="105"/>
      <c r="S8" s="105"/>
      <c r="T8" s="105"/>
      <c r="U8" s="105"/>
      <c r="V8" s="105"/>
      <c r="W8" s="105"/>
      <c r="X8" s="105"/>
      <c r="Y8" s="105"/>
      <c r="Z8" s="105"/>
      <c r="AA8" s="105"/>
      <c r="AB8" s="105"/>
      <c r="AC8" s="105"/>
      <c r="AD8" s="105"/>
      <c r="AE8" s="105"/>
      <c r="AF8" s="105"/>
      <c r="AG8" s="105"/>
      <c r="AH8" s="105"/>
      <c r="AI8" s="105"/>
      <c r="AJ8" s="105"/>
      <c r="AK8" s="105"/>
      <c r="AL8" s="97"/>
      <c r="AM8" s="60">
        <f t="shared" si="11"/>
        <v>0</v>
      </c>
      <c r="AN8" s="61">
        <f t="shared" si="12"/>
        <v>0</v>
      </c>
      <c r="AO8" s="61">
        <f t="shared" si="13"/>
        <v>0</v>
      </c>
      <c r="AP8" s="61"/>
      <c r="AQ8" s="61"/>
      <c r="AR8" s="61"/>
      <c r="AS8" s="61" t="e">
        <f t="shared" si="14"/>
        <v>#VALUE!</v>
      </c>
      <c r="AT8" s="105"/>
      <c r="AU8" s="105"/>
      <c r="AV8" s="61" t="e">
        <f t="shared" si="15"/>
        <v>#VALUE!</v>
      </c>
      <c r="AW8" s="61" t="e">
        <f t="shared" si="16"/>
        <v>#VALUE!</v>
      </c>
      <c r="AX8" s="61" t="e">
        <f t="shared" si="5"/>
        <v>#VALUE!</v>
      </c>
      <c r="AY8" s="61" t="e">
        <f t="shared" si="17"/>
        <v>#VALUE!</v>
      </c>
      <c r="AZ8" s="61" t="e">
        <f t="shared" si="18"/>
        <v>#VALUE!</v>
      </c>
      <c r="BA8" s="61" t="e">
        <f t="shared" si="19"/>
        <v>#VALUE!</v>
      </c>
      <c r="BB8" s="61">
        <f t="shared" si="20"/>
        <v>0</v>
      </c>
      <c r="BC8" s="105"/>
      <c r="BD8" s="62" t="e">
        <f t="shared" si="21"/>
        <v>#VALUE!</v>
      </c>
      <c r="BE8" s="105"/>
      <c r="BF8" s="115" t="s">
        <v>60</v>
      </c>
    </row>
    <row r="9" spans="1:58">
      <c r="A9" s="59">
        <v>3</v>
      </c>
      <c r="B9" s="103"/>
      <c r="C9" s="104"/>
      <c r="D9" s="105"/>
      <c r="E9" s="104"/>
      <c r="F9" s="106"/>
      <c r="G9" s="107"/>
      <c r="H9" s="105"/>
      <c r="I9" s="105"/>
      <c r="J9" s="105"/>
      <c r="K9" s="105"/>
      <c r="L9" s="105"/>
      <c r="M9" s="105"/>
      <c r="N9" s="105"/>
      <c r="O9" s="105"/>
      <c r="P9" s="105"/>
      <c r="Q9" s="105"/>
      <c r="R9" s="105"/>
      <c r="S9" s="105"/>
      <c r="T9" s="105"/>
      <c r="U9" s="105"/>
      <c r="V9" s="105"/>
      <c r="W9" s="105"/>
      <c r="X9" s="105"/>
      <c r="Y9" s="105"/>
      <c r="Z9" s="105"/>
      <c r="AA9" s="105"/>
      <c r="AB9" s="105"/>
      <c r="AC9" s="105"/>
      <c r="AD9" s="105"/>
      <c r="AE9" s="105"/>
      <c r="AF9" s="105"/>
      <c r="AG9" s="105"/>
      <c r="AH9" s="105"/>
      <c r="AI9" s="105"/>
      <c r="AJ9" s="105"/>
      <c r="AK9" s="105"/>
      <c r="AL9" s="97"/>
      <c r="AM9" s="60">
        <f t="shared" si="11"/>
        <v>0</v>
      </c>
      <c r="AN9" s="61">
        <f t="shared" si="12"/>
        <v>0</v>
      </c>
      <c r="AO9" s="61">
        <f t="shared" si="13"/>
        <v>0</v>
      </c>
      <c r="AP9" s="61"/>
      <c r="AQ9" s="61"/>
      <c r="AR9" s="61"/>
      <c r="AS9" s="61" t="e">
        <f t="shared" si="14"/>
        <v>#VALUE!</v>
      </c>
      <c r="AT9" s="105"/>
      <c r="AU9" s="105"/>
      <c r="AV9" s="61" t="e">
        <f>SUM(AM9:AO9)-AS9+AT9</f>
        <v>#VALUE!</v>
      </c>
      <c r="AW9" s="61" t="e">
        <f t="shared" si="16"/>
        <v>#VALUE!</v>
      </c>
      <c r="AX9" s="61" t="e">
        <f t="shared" si="5"/>
        <v>#VALUE!</v>
      </c>
      <c r="AY9" s="61" t="e">
        <f t="shared" si="17"/>
        <v>#VALUE!</v>
      </c>
      <c r="AZ9" s="61" t="e">
        <f t="shared" si="18"/>
        <v>#VALUE!</v>
      </c>
      <c r="BA9" s="61" t="e">
        <f t="shared" si="19"/>
        <v>#VALUE!</v>
      </c>
      <c r="BB9" s="61">
        <f t="shared" si="20"/>
        <v>0</v>
      </c>
      <c r="BC9" s="105"/>
      <c r="BD9" s="62" t="e">
        <f t="shared" si="21"/>
        <v>#VALUE!</v>
      </c>
      <c r="BE9" s="105"/>
      <c r="BF9" s="115" t="s">
        <v>60</v>
      </c>
    </row>
    <row r="10" spans="1:58">
      <c r="A10" s="59">
        <v>4</v>
      </c>
      <c r="B10" s="103"/>
      <c r="C10" s="104"/>
      <c r="D10" s="105"/>
      <c r="E10" s="104"/>
      <c r="F10" s="106"/>
      <c r="G10" s="107"/>
      <c r="H10" s="105"/>
      <c r="I10" s="105"/>
      <c r="J10" s="105"/>
      <c r="K10" s="105"/>
      <c r="L10" s="105"/>
      <c r="M10" s="105"/>
      <c r="N10" s="105"/>
      <c r="O10" s="105"/>
      <c r="P10" s="105"/>
      <c r="Q10" s="105"/>
      <c r="R10" s="105"/>
      <c r="S10" s="105"/>
      <c r="T10" s="105"/>
      <c r="U10" s="105"/>
      <c r="V10" s="105"/>
      <c r="W10" s="105"/>
      <c r="X10" s="105"/>
      <c r="Y10" s="105"/>
      <c r="Z10" s="105"/>
      <c r="AA10" s="105"/>
      <c r="AB10" s="105"/>
      <c r="AC10" s="105"/>
      <c r="AD10" s="105"/>
      <c r="AE10" s="105"/>
      <c r="AF10" s="105"/>
      <c r="AG10" s="105"/>
      <c r="AH10" s="105"/>
      <c r="AI10" s="105"/>
      <c r="AJ10" s="105"/>
      <c r="AK10" s="105"/>
      <c r="AL10" s="97"/>
      <c r="AM10" s="60">
        <f t="shared" si="11"/>
        <v>0</v>
      </c>
      <c r="AN10" s="61">
        <f t="shared" si="12"/>
        <v>0</v>
      </c>
      <c r="AO10" s="61">
        <f t="shared" si="13"/>
        <v>0</v>
      </c>
      <c r="AP10" s="61"/>
      <c r="AQ10" s="61"/>
      <c r="AR10" s="61"/>
      <c r="AS10" s="61" t="e">
        <f t="shared" si="14"/>
        <v>#VALUE!</v>
      </c>
      <c r="AT10" s="105"/>
      <c r="AU10" s="105"/>
      <c r="AV10" s="61" t="e">
        <f t="shared" ref="AV10:AV11" si="22">SUM(AM10:AO10)-AS10+AT10</f>
        <v>#VALUE!</v>
      </c>
      <c r="AW10" s="61" t="e">
        <f t="shared" si="16"/>
        <v>#VALUE!</v>
      </c>
      <c r="AX10" s="61" t="e">
        <f t="shared" si="5"/>
        <v>#VALUE!</v>
      </c>
      <c r="AY10" s="61" t="e">
        <f t="shared" si="17"/>
        <v>#VALUE!</v>
      </c>
      <c r="AZ10" s="61" t="e">
        <f t="shared" si="18"/>
        <v>#VALUE!</v>
      </c>
      <c r="BA10" s="61" t="e">
        <f t="shared" si="19"/>
        <v>#VALUE!</v>
      </c>
      <c r="BB10" s="61">
        <f t="shared" si="20"/>
        <v>0</v>
      </c>
      <c r="BC10" s="105"/>
      <c r="BD10" s="62" t="e">
        <f t="shared" si="21"/>
        <v>#VALUE!</v>
      </c>
      <c r="BE10" s="105"/>
      <c r="BF10" s="115" t="s">
        <v>60</v>
      </c>
    </row>
    <row r="11" spans="1:58">
      <c r="A11" s="59">
        <v>5</v>
      </c>
      <c r="B11" s="103"/>
      <c r="C11" s="104"/>
      <c r="D11" s="105"/>
      <c r="E11" s="104"/>
      <c r="F11" s="106"/>
      <c r="G11" s="107"/>
      <c r="H11" s="105"/>
      <c r="I11" s="105"/>
      <c r="J11" s="105"/>
      <c r="K11" s="105"/>
      <c r="L11" s="105"/>
      <c r="M11" s="105"/>
      <c r="N11" s="105"/>
      <c r="O11" s="105"/>
      <c r="P11" s="105"/>
      <c r="Q11" s="105"/>
      <c r="R11" s="105"/>
      <c r="S11" s="105"/>
      <c r="T11" s="105"/>
      <c r="U11" s="105"/>
      <c r="V11" s="105"/>
      <c r="W11" s="105"/>
      <c r="X11" s="105"/>
      <c r="Y11" s="105"/>
      <c r="Z11" s="105"/>
      <c r="AA11" s="105"/>
      <c r="AB11" s="105"/>
      <c r="AC11" s="105"/>
      <c r="AD11" s="105"/>
      <c r="AE11" s="105"/>
      <c r="AF11" s="105"/>
      <c r="AG11" s="105"/>
      <c r="AH11" s="105"/>
      <c r="AI11" s="105"/>
      <c r="AJ11" s="105"/>
      <c r="AK11" s="105"/>
      <c r="AL11" s="97"/>
      <c r="AM11" s="60">
        <f t="shared" si="11"/>
        <v>0</v>
      </c>
      <c r="AN11" s="61">
        <f t="shared" si="12"/>
        <v>0</v>
      </c>
      <c r="AO11" s="61">
        <f t="shared" si="13"/>
        <v>0</v>
      </c>
      <c r="AP11" s="61"/>
      <c r="AQ11" s="61"/>
      <c r="AR11" s="61"/>
      <c r="AS11" s="61" t="e">
        <f t="shared" si="14"/>
        <v>#VALUE!</v>
      </c>
      <c r="AT11" s="105"/>
      <c r="AU11" s="105"/>
      <c r="AV11" s="61" t="e">
        <f t="shared" si="22"/>
        <v>#VALUE!</v>
      </c>
      <c r="AW11" s="61" t="e">
        <f t="shared" si="16"/>
        <v>#VALUE!</v>
      </c>
      <c r="AX11" s="61" t="e">
        <f t="shared" si="5"/>
        <v>#VALUE!</v>
      </c>
      <c r="AY11" s="61" t="e">
        <f t="shared" si="17"/>
        <v>#VALUE!</v>
      </c>
      <c r="AZ11" s="61" t="e">
        <f t="shared" si="18"/>
        <v>#VALUE!</v>
      </c>
      <c r="BA11" s="61" t="e">
        <f t="shared" si="19"/>
        <v>#VALUE!</v>
      </c>
      <c r="BB11" s="61">
        <f t="shared" si="20"/>
        <v>0</v>
      </c>
      <c r="BC11" s="105"/>
      <c r="BD11" s="62" t="e">
        <f t="shared" si="21"/>
        <v>#VALUE!</v>
      </c>
      <c r="BE11" s="105"/>
      <c r="BF11" s="115" t="s">
        <v>60</v>
      </c>
    </row>
    <row r="12" spans="1:58">
      <c r="A12" s="59">
        <v>6</v>
      </c>
      <c r="B12" s="103"/>
      <c r="C12" s="104"/>
      <c r="D12" s="105"/>
      <c r="E12" s="104"/>
      <c r="F12" s="106"/>
      <c r="G12" s="107"/>
      <c r="H12" s="105"/>
      <c r="I12" s="105"/>
      <c r="J12" s="105"/>
      <c r="K12" s="105"/>
      <c r="L12" s="105"/>
      <c r="M12" s="105"/>
      <c r="N12" s="105"/>
      <c r="O12" s="105"/>
      <c r="P12" s="105"/>
      <c r="Q12" s="105"/>
      <c r="R12" s="105"/>
      <c r="S12" s="105"/>
      <c r="T12" s="105"/>
      <c r="U12" s="105"/>
      <c r="V12" s="105"/>
      <c r="W12" s="105"/>
      <c r="X12" s="105"/>
      <c r="Y12" s="105"/>
      <c r="Z12" s="105"/>
      <c r="AA12" s="105"/>
      <c r="AB12" s="105"/>
      <c r="AC12" s="105"/>
      <c r="AD12" s="105"/>
      <c r="AE12" s="105"/>
      <c r="AF12" s="105"/>
      <c r="AG12" s="105"/>
      <c r="AH12" s="105"/>
      <c r="AI12" s="105"/>
      <c r="AJ12" s="105"/>
      <c r="AK12" s="105"/>
      <c r="AL12" s="97"/>
      <c r="AM12" s="60">
        <f t="shared" si="11"/>
        <v>0</v>
      </c>
      <c r="AN12" s="61">
        <f t="shared" si="12"/>
        <v>0</v>
      </c>
      <c r="AO12" s="61">
        <f t="shared" si="13"/>
        <v>0</v>
      </c>
      <c r="AP12" s="61"/>
      <c r="AQ12" s="61"/>
      <c r="AR12" s="61"/>
      <c r="AS12" s="61" t="e">
        <f t="shared" si="14"/>
        <v>#VALUE!</v>
      </c>
      <c r="AT12" s="105"/>
      <c r="AU12" s="105"/>
      <c r="AV12" s="61" t="e">
        <f>SUM(AM12:AO12)-AS12+AT12</f>
        <v>#VALUE!</v>
      </c>
      <c r="AW12" s="61" t="e">
        <f t="shared" si="16"/>
        <v>#VALUE!</v>
      </c>
      <c r="AX12" s="61" t="e">
        <f t="shared" si="5"/>
        <v>#VALUE!</v>
      </c>
      <c r="AY12" s="61" t="e">
        <f t="shared" si="17"/>
        <v>#VALUE!</v>
      </c>
      <c r="AZ12" s="61" t="e">
        <f t="shared" si="18"/>
        <v>#VALUE!</v>
      </c>
      <c r="BA12" s="61" t="e">
        <f t="shared" si="19"/>
        <v>#VALUE!</v>
      </c>
      <c r="BB12" s="61">
        <f t="shared" si="20"/>
        <v>0</v>
      </c>
      <c r="BC12" s="105"/>
      <c r="BD12" s="62" t="e">
        <f t="shared" si="21"/>
        <v>#VALUE!</v>
      </c>
      <c r="BE12" s="105"/>
      <c r="BF12" s="115" t="s">
        <v>60</v>
      </c>
    </row>
    <row r="13" spans="1:58">
      <c r="A13" s="59">
        <v>7</v>
      </c>
      <c r="B13" s="103"/>
      <c r="C13" s="104"/>
      <c r="D13" s="105"/>
      <c r="E13" s="104"/>
      <c r="F13" s="106"/>
      <c r="G13" s="107"/>
      <c r="H13" s="105"/>
      <c r="I13" s="105"/>
      <c r="J13" s="105"/>
      <c r="K13" s="105"/>
      <c r="L13" s="105"/>
      <c r="M13" s="105"/>
      <c r="N13" s="105"/>
      <c r="O13" s="105"/>
      <c r="P13" s="105"/>
      <c r="Q13" s="105"/>
      <c r="R13" s="105"/>
      <c r="S13" s="105"/>
      <c r="T13" s="105"/>
      <c r="U13" s="105"/>
      <c r="V13" s="105"/>
      <c r="W13" s="105"/>
      <c r="X13" s="105"/>
      <c r="Y13" s="105"/>
      <c r="Z13" s="105"/>
      <c r="AA13" s="105"/>
      <c r="AB13" s="105"/>
      <c r="AC13" s="105"/>
      <c r="AD13" s="105"/>
      <c r="AE13" s="105"/>
      <c r="AF13" s="105"/>
      <c r="AG13" s="105"/>
      <c r="AH13" s="105"/>
      <c r="AI13" s="105"/>
      <c r="AJ13" s="105"/>
      <c r="AK13" s="105"/>
      <c r="AL13" s="97"/>
      <c r="AM13" s="60">
        <f t="shared" si="11"/>
        <v>0</v>
      </c>
      <c r="AN13" s="61">
        <f t="shared" si="12"/>
        <v>0</v>
      </c>
      <c r="AO13" s="61">
        <f t="shared" si="13"/>
        <v>0</v>
      </c>
      <c r="AP13" s="61"/>
      <c r="AQ13" s="61"/>
      <c r="AR13" s="61"/>
      <c r="AS13" s="61" t="e">
        <f t="shared" si="14"/>
        <v>#VALUE!</v>
      </c>
      <c r="AT13" s="105"/>
      <c r="AU13" s="105"/>
      <c r="AV13" s="61" t="e">
        <f t="shared" ref="AV13:AV14" si="23">SUM(AM13:AO13)-AS13+AT13</f>
        <v>#VALUE!</v>
      </c>
      <c r="AW13" s="61" t="e">
        <f t="shared" si="16"/>
        <v>#VALUE!</v>
      </c>
      <c r="AX13" s="61" t="e">
        <f t="shared" si="5"/>
        <v>#VALUE!</v>
      </c>
      <c r="AY13" s="61" t="e">
        <f t="shared" si="17"/>
        <v>#VALUE!</v>
      </c>
      <c r="AZ13" s="61" t="e">
        <f t="shared" si="18"/>
        <v>#VALUE!</v>
      </c>
      <c r="BA13" s="61" t="e">
        <f t="shared" si="19"/>
        <v>#VALUE!</v>
      </c>
      <c r="BB13" s="61">
        <f t="shared" si="20"/>
        <v>0</v>
      </c>
      <c r="BC13" s="105"/>
      <c r="BD13" s="62" t="e">
        <f t="shared" si="21"/>
        <v>#VALUE!</v>
      </c>
      <c r="BE13" s="105"/>
      <c r="BF13" s="115" t="s">
        <v>60</v>
      </c>
    </row>
    <row r="14" spans="1:58">
      <c r="A14" s="59">
        <v>8</v>
      </c>
      <c r="B14" s="103"/>
      <c r="C14" s="104"/>
      <c r="D14" s="105"/>
      <c r="E14" s="104"/>
      <c r="F14" s="106"/>
      <c r="G14" s="107"/>
      <c r="H14" s="105"/>
      <c r="I14" s="105"/>
      <c r="J14" s="105"/>
      <c r="K14" s="105"/>
      <c r="L14" s="105"/>
      <c r="M14" s="105"/>
      <c r="N14" s="105"/>
      <c r="O14" s="105"/>
      <c r="P14" s="105"/>
      <c r="Q14" s="105"/>
      <c r="R14" s="105"/>
      <c r="S14" s="105"/>
      <c r="T14" s="105"/>
      <c r="U14" s="105"/>
      <c r="V14" s="105"/>
      <c r="W14" s="105"/>
      <c r="X14" s="105"/>
      <c r="Y14" s="105"/>
      <c r="Z14" s="105"/>
      <c r="AA14" s="105"/>
      <c r="AB14" s="105"/>
      <c r="AC14" s="105"/>
      <c r="AD14" s="105"/>
      <c r="AE14" s="105"/>
      <c r="AF14" s="105"/>
      <c r="AG14" s="105"/>
      <c r="AH14" s="105"/>
      <c r="AI14" s="105"/>
      <c r="AJ14" s="105"/>
      <c r="AK14" s="105"/>
      <c r="AL14" s="97"/>
      <c r="AM14" s="60">
        <f t="shared" si="11"/>
        <v>0</v>
      </c>
      <c r="AN14" s="61">
        <f t="shared" si="12"/>
        <v>0</v>
      </c>
      <c r="AO14" s="61">
        <f t="shared" si="13"/>
        <v>0</v>
      </c>
      <c r="AP14" s="61"/>
      <c r="AQ14" s="61"/>
      <c r="AR14" s="61"/>
      <c r="AS14" s="61" t="e">
        <f t="shared" si="14"/>
        <v>#VALUE!</v>
      </c>
      <c r="AT14" s="105"/>
      <c r="AU14" s="105"/>
      <c r="AV14" s="61" t="e">
        <f t="shared" si="23"/>
        <v>#VALUE!</v>
      </c>
      <c r="AW14" s="61" t="e">
        <f t="shared" si="16"/>
        <v>#VALUE!</v>
      </c>
      <c r="AX14" s="61" t="e">
        <f t="shared" si="5"/>
        <v>#VALUE!</v>
      </c>
      <c r="AY14" s="61" t="e">
        <f t="shared" si="17"/>
        <v>#VALUE!</v>
      </c>
      <c r="AZ14" s="61" t="e">
        <f t="shared" si="18"/>
        <v>#VALUE!</v>
      </c>
      <c r="BA14" s="61" t="e">
        <f t="shared" si="19"/>
        <v>#VALUE!</v>
      </c>
      <c r="BB14" s="61">
        <f t="shared" si="20"/>
        <v>0</v>
      </c>
      <c r="BC14" s="105"/>
      <c r="BD14" s="62" t="e">
        <f t="shared" si="21"/>
        <v>#VALUE!</v>
      </c>
      <c r="BE14" s="105"/>
      <c r="BF14" s="115" t="s">
        <v>60</v>
      </c>
    </row>
    <row r="15" spans="1:58">
      <c r="A15" s="59">
        <v>9</v>
      </c>
      <c r="B15" s="103"/>
      <c r="C15" s="104"/>
      <c r="D15" s="105"/>
      <c r="E15" s="104"/>
      <c r="F15" s="106"/>
      <c r="G15" s="107"/>
      <c r="H15" s="105"/>
      <c r="I15" s="105"/>
      <c r="J15" s="105"/>
      <c r="K15" s="105"/>
      <c r="L15" s="105"/>
      <c r="M15" s="105"/>
      <c r="N15" s="105"/>
      <c r="O15" s="105"/>
      <c r="P15" s="105"/>
      <c r="Q15" s="105"/>
      <c r="R15" s="105"/>
      <c r="S15" s="105"/>
      <c r="T15" s="105"/>
      <c r="U15" s="105"/>
      <c r="V15" s="105"/>
      <c r="W15" s="105"/>
      <c r="X15" s="105"/>
      <c r="Y15" s="105"/>
      <c r="Z15" s="105"/>
      <c r="AA15" s="105"/>
      <c r="AB15" s="105"/>
      <c r="AC15" s="105"/>
      <c r="AD15" s="105"/>
      <c r="AE15" s="105"/>
      <c r="AF15" s="105"/>
      <c r="AG15" s="105"/>
      <c r="AH15" s="105"/>
      <c r="AI15" s="105"/>
      <c r="AJ15" s="105"/>
      <c r="AK15" s="105"/>
      <c r="AL15" s="97"/>
      <c r="AM15" s="60">
        <f t="shared" si="11"/>
        <v>0</v>
      </c>
      <c r="AN15" s="61">
        <f t="shared" si="12"/>
        <v>0</v>
      </c>
      <c r="AO15" s="61">
        <f t="shared" si="13"/>
        <v>0</v>
      </c>
      <c r="AP15" s="61"/>
      <c r="AQ15" s="61"/>
      <c r="AR15" s="61"/>
      <c r="AS15" s="61" t="e">
        <f t="shared" si="14"/>
        <v>#VALUE!</v>
      </c>
      <c r="AT15" s="105"/>
      <c r="AU15" s="105"/>
      <c r="AV15" s="61" t="e">
        <f>SUM(AM15:AO15)-AS15+AT15</f>
        <v>#VALUE!</v>
      </c>
      <c r="AW15" s="61" t="e">
        <f t="shared" si="16"/>
        <v>#VALUE!</v>
      </c>
      <c r="AX15" s="61" t="e">
        <f t="shared" si="5"/>
        <v>#VALUE!</v>
      </c>
      <c r="AY15" s="61" t="e">
        <f t="shared" si="17"/>
        <v>#VALUE!</v>
      </c>
      <c r="AZ15" s="61" t="e">
        <f t="shared" si="18"/>
        <v>#VALUE!</v>
      </c>
      <c r="BA15" s="61" t="e">
        <f t="shared" si="19"/>
        <v>#VALUE!</v>
      </c>
      <c r="BB15" s="61">
        <f t="shared" si="20"/>
        <v>0</v>
      </c>
      <c r="BC15" s="105"/>
      <c r="BD15" s="62" t="e">
        <f t="shared" si="21"/>
        <v>#VALUE!</v>
      </c>
      <c r="BE15" s="105"/>
      <c r="BF15" s="115" t="s">
        <v>60</v>
      </c>
    </row>
    <row r="16" spans="1:58">
      <c r="A16" s="59">
        <v>10</v>
      </c>
      <c r="B16" s="103"/>
      <c r="C16" s="104"/>
      <c r="D16" s="105"/>
      <c r="E16" s="104"/>
      <c r="F16" s="106"/>
      <c r="G16" s="107"/>
      <c r="H16" s="105"/>
      <c r="I16" s="105"/>
      <c r="J16" s="105"/>
      <c r="K16" s="105"/>
      <c r="L16" s="105"/>
      <c r="M16" s="105"/>
      <c r="N16" s="105"/>
      <c r="O16" s="105"/>
      <c r="P16" s="105"/>
      <c r="Q16" s="105"/>
      <c r="R16" s="105"/>
      <c r="S16" s="105"/>
      <c r="T16" s="105"/>
      <c r="U16" s="105"/>
      <c r="V16" s="105"/>
      <c r="W16" s="105"/>
      <c r="X16" s="105"/>
      <c r="Y16" s="105"/>
      <c r="Z16" s="105"/>
      <c r="AA16" s="105"/>
      <c r="AB16" s="105"/>
      <c r="AC16" s="105"/>
      <c r="AD16" s="105"/>
      <c r="AE16" s="105"/>
      <c r="AF16" s="105"/>
      <c r="AG16" s="105"/>
      <c r="AH16" s="105"/>
      <c r="AI16" s="105"/>
      <c r="AJ16" s="105"/>
      <c r="AK16" s="105"/>
      <c r="AL16" s="97"/>
      <c r="AM16" s="60">
        <f t="shared" si="11"/>
        <v>0</v>
      </c>
      <c r="AN16" s="61">
        <f t="shared" si="12"/>
        <v>0</v>
      </c>
      <c r="AO16" s="61">
        <f t="shared" si="13"/>
        <v>0</v>
      </c>
      <c r="AP16" s="61"/>
      <c r="AQ16" s="61"/>
      <c r="AR16" s="61"/>
      <c r="AS16" s="61" t="e">
        <f t="shared" si="14"/>
        <v>#VALUE!</v>
      </c>
      <c r="AT16" s="105"/>
      <c r="AU16" s="105"/>
      <c r="AV16" s="61" t="e">
        <f t="shared" ref="AV16:AV17" si="24">SUM(AM16:AO16)-AS16+AT16</f>
        <v>#VALUE!</v>
      </c>
      <c r="AW16" s="61" t="e">
        <f t="shared" si="16"/>
        <v>#VALUE!</v>
      </c>
      <c r="AX16" s="61" t="e">
        <f t="shared" si="5"/>
        <v>#VALUE!</v>
      </c>
      <c r="AY16" s="61" t="e">
        <f t="shared" si="17"/>
        <v>#VALUE!</v>
      </c>
      <c r="AZ16" s="61" t="e">
        <f t="shared" si="18"/>
        <v>#VALUE!</v>
      </c>
      <c r="BA16" s="61" t="e">
        <f t="shared" si="19"/>
        <v>#VALUE!</v>
      </c>
      <c r="BB16" s="61">
        <f t="shared" si="20"/>
        <v>0</v>
      </c>
      <c r="BC16" s="105"/>
      <c r="BD16" s="62" t="e">
        <f t="shared" si="21"/>
        <v>#VALUE!</v>
      </c>
      <c r="BE16" s="105"/>
      <c r="BF16" s="115" t="s">
        <v>60</v>
      </c>
    </row>
    <row r="17" spans="1:58">
      <c r="A17" s="59">
        <v>11</v>
      </c>
      <c r="B17" s="103"/>
      <c r="C17" s="104"/>
      <c r="D17" s="105"/>
      <c r="E17" s="104"/>
      <c r="F17" s="106"/>
      <c r="G17" s="107"/>
      <c r="H17" s="105"/>
      <c r="I17" s="105"/>
      <c r="J17" s="105"/>
      <c r="K17" s="105"/>
      <c r="L17" s="105"/>
      <c r="M17" s="105"/>
      <c r="N17" s="105"/>
      <c r="O17" s="105"/>
      <c r="P17" s="105"/>
      <c r="Q17" s="105"/>
      <c r="R17" s="105"/>
      <c r="S17" s="105"/>
      <c r="T17" s="105"/>
      <c r="U17" s="105"/>
      <c r="V17" s="105"/>
      <c r="W17" s="105"/>
      <c r="X17" s="105"/>
      <c r="Y17" s="105"/>
      <c r="Z17" s="105"/>
      <c r="AA17" s="105"/>
      <c r="AB17" s="105"/>
      <c r="AC17" s="105"/>
      <c r="AD17" s="105"/>
      <c r="AE17" s="105"/>
      <c r="AF17" s="105"/>
      <c r="AG17" s="105"/>
      <c r="AH17" s="105"/>
      <c r="AI17" s="105"/>
      <c r="AJ17" s="105"/>
      <c r="AK17" s="105"/>
      <c r="AL17" s="97"/>
      <c r="AM17" s="60">
        <f t="shared" si="11"/>
        <v>0</v>
      </c>
      <c r="AN17" s="61">
        <f t="shared" si="12"/>
        <v>0</v>
      </c>
      <c r="AO17" s="61">
        <f t="shared" si="13"/>
        <v>0</v>
      </c>
      <c r="AP17" s="61"/>
      <c r="AQ17" s="61"/>
      <c r="AR17" s="61"/>
      <c r="AS17" s="61" t="e">
        <f t="shared" si="14"/>
        <v>#VALUE!</v>
      </c>
      <c r="AT17" s="105"/>
      <c r="AU17" s="105"/>
      <c r="AV17" s="61" t="e">
        <f t="shared" si="24"/>
        <v>#VALUE!</v>
      </c>
      <c r="AW17" s="61" t="e">
        <f t="shared" si="16"/>
        <v>#VALUE!</v>
      </c>
      <c r="AX17" s="61" t="e">
        <f t="shared" si="5"/>
        <v>#VALUE!</v>
      </c>
      <c r="AY17" s="61" t="e">
        <f t="shared" si="17"/>
        <v>#VALUE!</v>
      </c>
      <c r="AZ17" s="61" t="e">
        <f t="shared" si="18"/>
        <v>#VALUE!</v>
      </c>
      <c r="BA17" s="61" t="e">
        <f t="shared" si="19"/>
        <v>#VALUE!</v>
      </c>
      <c r="BB17" s="61">
        <f t="shared" si="20"/>
        <v>0</v>
      </c>
      <c r="BC17" s="105"/>
      <c r="BD17" s="62" t="e">
        <f t="shared" si="21"/>
        <v>#VALUE!</v>
      </c>
      <c r="BE17" s="105"/>
      <c r="BF17" s="115" t="s">
        <v>60</v>
      </c>
    </row>
    <row r="18" spans="1:58">
      <c r="A18" s="59">
        <v>12</v>
      </c>
      <c r="B18" s="103"/>
      <c r="C18" s="104"/>
      <c r="D18" s="105"/>
      <c r="E18" s="104"/>
      <c r="F18" s="106"/>
      <c r="G18" s="107"/>
      <c r="H18" s="105"/>
      <c r="I18" s="105"/>
      <c r="J18" s="105"/>
      <c r="K18" s="105"/>
      <c r="L18" s="105"/>
      <c r="M18" s="105"/>
      <c r="N18" s="105"/>
      <c r="O18" s="105"/>
      <c r="P18" s="105"/>
      <c r="Q18" s="105"/>
      <c r="R18" s="105"/>
      <c r="S18" s="105"/>
      <c r="T18" s="105"/>
      <c r="U18" s="105"/>
      <c r="V18" s="105"/>
      <c r="W18" s="105"/>
      <c r="X18" s="105"/>
      <c r="Y18" s="105"/>
      <c r="Z18" s="105"/>
      <c r="AA18" s="105"/>
      <c r="AB18" s="105"/>
      <c r="AC18" s="105"/>
      <c r="AD18" s="105"/>
      <c r="AE18" s="105"/>
      <c r="AF18" s="105"/>
      <c r="AG18" s="105"/>
      <c r="AH18" s="105"/>
      <c r="AI18" s="105"/>
      <c r="AJ18" s="105"/>
      <c r="AK18" s="105"/>
      <c r="AL18" s="97"/>
      <c r="AM18" s="60">
        <f t="shared" si="11"/>
        <v>0</v>
      </c>
      <c r="AN18" s="61">
        <f t="shared" si="12"/>
        <v>0</v>
      </c>
      <c r="AO18" s="61">
        <f t="shared" si="13"/>
        <v>0</v>
      </c>
      <c r="AP18" s="61"/>
      <c r="AQ18" s="61"/>
      <c r="AR18" s="61"/>
      <c r="AS18" s="61" t="e">
        <f t="shared" si="14"/>
        <v>#VALUE!</v>
      </c>
      <c r="AT18" s="105"/>
      <c r="AU18" s="105"/>
      <c r="AV18" s="61" t="e">
        <f t="shared" ref="AV18:AV19" si="25">SUM(AM18:AO18)-AS18+AT18</f>
        <v>#VALUE!</v>
      </c>
      <c r="AW18" s="61" t="e">
        <f t="shared" si="16"/>
        <v>#VALUE!</v>
      </c>
      <c r="AX18" s="61" t="e">
        <f t="shared" si="5"/>
        <v>#VALUE!</v>
      </c>
      <c r="AY18" s="61" t="e">
        <f t="shared" si="17"/>
        <v>#VALUE!</v>
      </c>
      <c r="AZ18" s="61" t="e">
        <f t="shared" si="18"/>
        <v>#VALUE!</v>
      </c>
      <c r="BA18" s="61" t="e">
        <f t="shared" si="19"/>
        <v>#VALUE!</v>
      </c>
      <c r="BB18" s="61">
        <f t="shared" si="20"/>
        <v>0</v>
      </c>
      <c r="BC18" s="105"/>
      <c r="BD18" s="62" t="e">
        <f t="shared" si="21"/>
        <v>#VALUE!</v>
      </c>
      <c r="BE18" s="105"/>
      <c r="BF18" s="115" t="s">
        <v>60</v>
      </c>
    </row>
    <row r="19" spans="1:58">
      <c r="A19" s="59">
        <v>13</v>
      </c>
      <c r="B19" s="103"/>
      <c r="C19" s="104"/>
      <c r="D19" s="105"/>
      <c r="E19" s="104"/>
      <c r="F19" s="106"/>
      <c r="G19" s="107"/>
      <c r="H19" s="105"/>
      <c r="I19" s="105"/>
      <c r="J19" s="105"/>
      <c r="K19" s="105"/>
      <c r="L19" s="105"/>
      <c r="M19" s="105"/>
      <c r="N19" s="105"/>
      <c r="O19" s="105"/>
      <c r="P19" s="105"/>
      <c r="Q19" s="105"/>
      <c r="R19" s="105"/>
      <c r="S19" s="105"/>
      <c r="T19" s="105"/>
      <c r="U19" s="105"/>
      <c r="V19" s="105"/>
      <c r="W19" s="105"/>
      <c r="X19" s="105"/>
      <c r="Y19" s="105"/>
      <c r="Z19" s="105"/>
      <c r="AA19" s="105"/>
      <c r="AB19" s="105"/>
      <c r="AC19" s="105"/>
      <c r="AD19" s="105"/>
      <c r="AE19" s="105"/>
      <c r="AF19" s="105"/>
      <c r="AG19" s="105"/>
      <c r="AH19" s="105"/>
      <c r="AI19" s="105"/>
      <c r="AJ19" s="105"/>
      <c r="AK19" s="105"/>
      <c r="AL19" s="97"/>
      <c r="AM19" s="60">
        <f t="shared" si="11"/>
        <v>0</v>
      </c>
      <c r="AN19" s="61">
        <f t="shared" si="12"/>
        <v>0</v>
      </c>
      <c r="AO19" s="61">
        <f t="shared" si="13"/>
        <v>0</v>
      </c>
      <c r="AP19" s="61"/>
      <c r="AQ19" s="61"/>
      <c r="AR19" s="61"/>
      <c r="AS19" s="61" t="e">
        <f t="shared" si="14"/>
        <v>#VALUE!</v>
      </c>
      <c r="AT19" s="105"/>
      <c r="AU19" s="105"/>
      <c r="AV19" s="61" t="e">
        <f t="shared" si="25"/>
        <v>#VALUE!</v>
      </c>
      <c r="AW19" s="61" t="e">
        <f t="shared" si="16"/>
        <v>#VALUE!</v>
      </c>
      <c r="AX19" s="61" t="e">
        <f t="shared" si="5"/>
        <v>#VALUE!</v>
      </c>
      <c r="AY19" s="61" t="e">
        <f t="shared" si="17"/>
        <v>#VALUE!</v>
      </c>
      <c r="AZ19" s="61" t="e">
        <f t="shared" si="18"/>
        <v>#VALUE!</v>
      </c>
      <c r="BA19" s="61" t="e">
        <f t="shared" si="19"/>
        <v>#VALUE!</v>
      </c>
      <c r="BB19" s="61">
        <f t="shared" si="20"/>
        <v>0</v>
      </c>
      <c r="BC19" s="105"/>
      <c r="BD19" s="62" t="e">
        <f t="shared" si="21"/>
        <v>#VALUE!</v>
      </c>
      <c r="BE19" s="105"/>
      <c r="BF19" s="115" t="s">
        <v>60</v>
      </c>
    </row>
    <row r="20" spans="1:58">
      <c r="A20" s="59">
        <v>14</v>
      </c>
      <c r="B20" s="103"/>
      <c r="C20" s="104"/>
      <c r="D20" s="105"/>
      <c r="E20" s="104"/>
      <c r="F20" s="106"/>
      <c r="G20" s="107"/>
      <c r="H20" s="105"/>
      <c r="I20" s="105"/>
      <c r="J20" s="105"/>
      <c r="K20" s="105"/>
      <c r="L20" s="105"/>
      <c r="M20" s="105"/>
      <c r="N20" s="105"/>
      <c r="O20" s="105"/>
      <c r="P20" s="105"/>
      <c r="Q20" s="105"/>
      <c r="R20" s="105"/>
      <c r="S20" s="105"/>
      <c r="T20" s="105"/>
      <c r="U20" s="105"/>
      <c r="V20" s="105"/>
      <c r="W20" s="105"/>
      <c r="X20" s="105"/>
      <c r="Y20" s="105"/>
      <c r="Z20" s="105"/>
      <c r="AA20" s="105"/>
      <c r="AB20" s="105"/>
      <c r="AC20" s="105"/>
      <c r="AD20" s="105"/>
      <c r="AE20" s="105"/>
      <c r="AF20" s="105"/>
      <c r="AG20" s="105"/>
      <c r="AH20" s="105"/>
      <c r="AI20" s="105"/>
      <c r="AJ20" s="105"/>
      <c r="AK20" s="105"/>
      <c r="AL20" s="97"/>
      <c r="AM20" s="60">
        <f t="shared" si="11"/>
        <v>0</v>
      </c>
      <c r="AN20" s="61">
        <f t="shared" si="12"/>
        <v>0</v>
      </c>
      <c r="AO20" s="61">
        <f t="shared" si="13"/>
        <v>0</v>
      </c>
      <c r="AP20" s="61"/>
      <c r="AQ20" s="61"/>
      <c r="AR20" s="61"/>
      <c r="AS20" s="61" t="e">
        <f t="shared" si="14"/>
        <v>#VALUE!</v>
      </c>
      <c r="AT20" s="105"/>
      <c r="AU20" s="105"/>
      <c r="AV20" s="61" t="e">
        <f t="shared" ref="AV20:AV21" si="26">SUM(AM20:AO20)-AS20+AT20</f>
        <v>#VALUE!</v>
      </c>
      <c r="AW20" s="61" t="e">
        <f t="shared" si="16"/>
        <v>#VALUE!</v>
      </c>
      <c r="AX20" s="61" t="e">
        <f t="shared" si="5"/>
        <v>#VALUE!</v>
      </c>
      <c r="AY20" s="61" t="e">
        <f t="shared" si="17"/>
        <v>#VALUE!</v>
      </c>
      <c r="AZ20" s="61" t="e">
        <f t="shared" si="18"/>
        <v>#VALUE!</v>
      </c>
      <c r="BA20" s="61" t="e">
        <f t="shared" si="19"/>
        <v>#VALUE!</v>
      </c>
      <c r="BB20" s="61">
        <f t="shared" si="20"/>
        <v>0</v>
      </c>
      <c r="BC20" s="105"/>
      <c r="BD20" s="62" t="e">
        <f t="shared" si="21"/>
        <v>#VALUE!</v>
      </c>
      <c r="BE20" s="105"/>
      <c r="BF20" s="115" t="s">
        <v>60</v>
      </c>
    </row>
    <row r="21" spans="1:58">
      <c r="A21" s="59">
        <v>15</v>
      </c>
      <c r="B21" s="103"/>
      <c r="C21" s="104"/>
      <c r="D21" s="105"/>
      <c r="E21" s="104"/>
      <c r="F21" s="106"/>
      <c r="G21" s="107"/>
      <c r="H21" s="105"/>
      <c r="I21" s="105"/>
      <c r="J21" s="105"/>
      <c r="K21" s="105"/>
      <c r="L21" s="105"/>
      <c r="M21" s="105"/>
      <c r="N21" s="105"/>
      <c r="O21" s="105"/>
      <c r="P21" s="105"/>
      <c r="Q21" s="105"/>
      <c r="R21" s="105"/>
      <c r="S21" s="105"/>
      <c r="T21" s="105"/>
      <c r="U21" s="105"/>
      <c r="V21" s="105"/>
      <c r="W21" s="105"/>
      <c r="X21" s="105"/>
      <c r="Y21" s="105"/>
      <c r="Z21" s="105"/>
      <c r="AA21" s="105"/>
      <c r="AB21" s="105"/>
      <c r="AC21" s="105"/>
      <c r="AD21" s="105"/>
      <c r="AE21" s="105"/>
      <c r="AF21" s="105"/>
      <c r="AG21" s="105"/>
      <c r="AH21" s="105"/>
      <c r="AI21" s="105"/>
      <c r="AJ21" s="105"/>
      <c r="AK21" s="105"/>
      <c r="AL21" s="97"/>
      <c r="AM21" s="60">
        <f t="shared" si="11"/>
        <v>0</v>
      </c>
      <c r="AN21" s="61">
        <f t="shared" si="12"/>
        <v>0</v>
      </c>
      <c r="AO21" s="61">
        <f t="shared" si="13"/>
        <v>0</v>
      </c>
      <c r="AP21" s="61"/>
      <c r="AQ21" s="61"/>
      <c r="AR21" s="61"/>
      <c r="AS21" s="61" t="e">
        <f t="shared" si="14"/>
        <v>#VALUE!</v>
      </c>
      <c r="AT21" s="105"/>
      <c r="AU21" s="105"/>
      <c r="AV21" s="61" t="e">
        <f t="shared" si="26"/>
        <v>#VALUE!</v>
      </c>
      <c r="AW21" s="61" t="e">
        <f t="shared" si="16"/>
        <v>#VALUE!</v>
      </c>
      <c r="AX21" s="61" t="e">
        <f t="shared" si="5"/>
        <v>#VALUE!</v>
      </c>
      <c r="AY21" s="61" t="e">
        <f t="shared" si="17"/>
        <v>#VALUE!</v>
      </c>
      <c r="AZ21" s="61" t="e">
        <f t="shared" si="18"/>
        <v>#VALUE!</v>
      </c>
      <c r="BA21" s="61" t="e">
        <f t="shared" si="19"/>
        <v>#VALUE!</v>
      </c>
      <c r="BB21" s="61">
        <f t="shared" si="20"/>
        <v>0</v>
      </c>
      <c r="BC21" s="105"/>
      <c r="BD21" s="62" t="e">
        <f t="shared" si="21"/>
        <v>#VALUE!</v>
      </c>
      <c r="BE21" s="105"/>
      <c r="BF21" s="115" t="s">
        <v>60</v>
      </c>
    </row>
    <row r="22" spans="1:58">
      <c r="A22" s="59">
        <v>16</v>
      </c>
      <c r="B22" s="103"/>
      <c r="C22" s="104"/>
      <c r="D22" s="105"/>
      <c r="E22" s="104"/>
      <c r="F22" s="106"/>
      <c r="G22" s="107"/>
      <c r="H22" s="105"/>
      <c r="I22" s="105"/>
      <c r="J22" s="105"/>
      <c r="K22" s="105"/>
      <c r="L22" s="105"/>
      <c r="M22" s="105"/>
      <c r="N22" s="105"/>
      <c r="O22" s="105"/>
      <c r="P22" s="105"/>
      <c r="Q22" s="105"/>
      <c r="R22" s="105"/>
      <c r="S22" s="105"/>
      <c r="T22" s="105"/>
      <c r="U22" s="105"/>
      <c r="V22" s="105"/>
      <c r="W22" s="105"/>
      <c r="X22" s="105"/>
      <c r="Y22" s="105"/>
      <c r="Z22" s="105"/>
      <c r="AA22" s="105"/>
      <c r="AB22" s="105"/>
      <c r="AC22" s="105"/>
      <c r="AD22" s="105"/>
      <c r="AE22" s="105"/>
      <c r="AF22" s="105"/>
      <c r="AG22" s="105"/>
      <c r="AH22" s="105"/>
      <c r="AI22" s="105"/>
      <c r="AJ22" s="105"/>
      <c r="AK22" s="105"/>
      <c r="AL22" s="97"/>
      <c r="AM22" s="60">
        <f t="shared" ref="AM22:AM36" si="27">COUNTIFS(G22:AK22,"日",$G$4:$AK$4,"&lt;="&amp;$D$2)*12</f>
        <v>0</v>
      </c>
      <c r="AN22" s="61">
        <f t="shared" ref="AN22:AN36" si="28">COUNTIFS(G22:AK22,"夜",$G$4:$AK$4,"&lt;="&amp;$D$2)*12</f>
        <v>0</v>
      </c>
      <c r="AO22" s="61">
        <f t="shared" ref="AO22:AO36" si="29">COUNTIFS(G22:AK22,"常",$G$4:$AK$4,"&lt;="&amp;$D$2)*8</f>
        <v>0</v>
      </c>
      <c r="AP22" s="61"/>
      <c r="AQ22" s="61"/>
      <c r="AR22" s="61"/>
      <c r="AS22" s="61" t="e">
        <f t="shared" ref="AS22:AS36" si="30">COUNTIFS(G22:AK22,"日",$G$4:$AK$4,"&lt;="&amp;$D$2,$G$5:$AK$5,"PH")*12+COUNTIFS(G22:AK22,"常",$G$4:$AK$4,"&lt;="&amp;$D$2,$G$5:$AK$5,"PH")*8+COUNTIFS(G22:AK22,"夜",$G$4:$AK$4,"&lt;="&amp;$D$2,$G$5:$AK$5,"PH")*3.5+
IF(AND(G22="夜",$H$5="PH",$G$4&lt;=$D$2),8.5,0)+IF(AND(H22="夜",$I$5="PH",$H$4&lt;=$D$2),8.5,0)+IF(AND(I22="夜",$J$5="PH",$I$4&lt;=$D$2),8.5,0)+IF(AND(J22="夜",$K$5="PH",$J$4&lt;=$D$2),8.5,0)+IF(AND(K22="夜",$L$5="PH",$K$4&lt;=$D$2),8.5,0)+IF(AND(L22="夜",$M$5="PH",$L$4&lt;=$D$2),8.5,0)+IF(AND(M22="夜",$N$5="PH",$M$4&lt;=$D$2),8.5,0)+IF(AND(N22="夜",$O$5="PH",$N$4&lt;=$D$2),8.5,0)+IF(AND(O22="夜",$P$5="PH",$O$4&lt;=$D$2),8.5,0)+IF(AND(P22="夜",$Q$5="PH",$P$4&lt;=$D$2),8.5,0)+IF(AND(Q22="夜",$R$5="PH",$Q$4&lt;=$D$2),8.5,0)+IF(AND(R22="夜",$S$5="PH",$R$4&lt;=$D$2),8.5,0)+IF(AND(S22="夜",$T$5="PH",$S$4&lt;=$D$2),8.5,0)+IF(AND(T22="夜",$U$5="PH",$T$4&lt;=$D$2),8.5,0)+IF(AND(U22="夜",$V$5="PH",$U$4&lt;=$D$2),8.5,0)+IF(AND(V22="夜",$W$5="PH",$V$4&lt;=$D$2),8.5,0)+IF(AND(W22="夜",$X$5="PH",$W$4&lt;=$D$2),8.5,0)+IF(AND(X22="夜",$Y$5="PH",$X$4&lt;=$D$2),8.5,0)+IF(AND(Y22="夜",$Z$5="PH",$Y$4&lt;=$D$2),8.5,0)+IF(AND(Z22="夜",$AA$5="PH",$Z$4&lt;=$D$2),8.5,0)+IF(AND(AA22="夜",$AB$5="PH",$AA$4&lt;=$D$2),8.5,0)+IF(AND(AB22="夜",$AC$5="PH",$AB$4&lt;=$D$2),8.5,0)+IF(AND(AC22="夜",$AD$5="PH",$AC$4&lt;=$D$2),8.5,0)+IF(AND(AD22="夜",$AE$5="PH",$AD$4&lt;=$D$2),8.5,0)+IF(AND(AE22="夜",$AF$5="PH",$AE$4&lt;=$D$2),8.5,0)+IF(AND(AF22="夜",$AG$5="PH",$AF$4&lt;=$D$2),8.5,0)+IF(AND(AG22="夜",$AH$5="PH",$AG$4&lt;=$D$2),8.5,0)+IF(AND(AH22="夜",$AI$5="PH",$AH$4&lt;=$D$2),8.5,0)+IF(AND(AI22="夜",$AJ$5="PH",$AI$4&lt;=$D$2),8.5,0)+IF(AND(AJ22="夜",$AK$5="PH",$AJ$4&lt;=$D$2),8.5,0)+IF(AND(AK22="夜",$AL$5="PH",$AK$4&lt;=$D$2),8.5,0)</f>
        <v>#VALUE!</v>
      </c>
      <c r="AT22" s="105"/>
      <c r="AU22" s="105"/>
      <c r="AV22" s="61" t="e">
        <f t="shared" ref="AV22:AV36" si="31">SUM(AM22:AO22)-AS22+AT22</f>
        <v>#VALUE!</v>
      </c>
      <c r="AW22" s="61" t="e">
        <f t="shared" ref="AW22:AW36" si="32">AV22/8</f>
        <v>#VALUE!</v>
      </c>
      <c r="AX22" s="61" t="e">
        <f t="shared" si="5"/>
        <v>#VALUE!</v>
      </c>
      <c r="AY22" s="61" t="e">
        <f t="shared" ref="AY22:AY36" si="33">ROUND(IF(AW22&gt;=AX22,AX22,AW22)*D22,2)</f>
        <v>#VALUE!</v>
      </c>
      <c r="AZ22" s="61" t="e">
        <f t="shared" ref="AZ22:AZ36" si="34">ROUND(IF((AW22-AX22)*1.5*D22&lt;0,0,(AW22-AX22)*1.5*D22),2)</f>
        <v>#VALUE!</v>
      </c>
      <c r="BA22" s="61" t="e">
        <f t="shared" ref="BA22:BA36" si="35">ROUND(D22/8*(AS22+AU22)*3,2)</f>
        <v>#VALUE!</v>
      </c>
      <c r="BB22" s="61">
        <f t="shared" ref="BB22:BB36" si="36">COUNTIFS(G22:AK22,"日",$G$4:$AK$4,"&lt;="&amp;$D$2)*50+COUNTIFS(G22:AK22,"夜",$G$4:$AK$4,"&lt;="&amp;$D$2)*50</f>
        <v>0</v>
      </c>
      <c r="BC22" s="105"/>
      <c r="BD22" s="62" t="e">
        <f t="shared" ref="BD22:BD36" si="37">SUM(AY22:BC22)</f>
        <v>#VALUE!</v>
      </c>
      <c r="BE22" s="105"/>
      <c r="BF22" s="115" t="s">
        <v>60</v>
      </c>
    </row>
    <row r="23" spans="1:58">
      <c r="A23" s="59">
        <v>17</v>
      </c>
      <c r="B23" s="103"/>
      <c r="C23" s="104"/>
      <c r="D23" s="105"/>
      <c r="E23" s="104"/>
      <c r="F23" s="106"/>
      <c r="G23" s="107"/>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7"/>
      <c r="AM23" s="60">
        <f t="shared" si="27"/>
        <v>0</v>
      </c>
      <c r="AN23" s="61">
        <f t="shared" si="28"/>
        <v>0</v>
      </c>
      <c r="AO23" s="61">
        <f t="shared" si="29"/>
        <v>0</v>
      </c>
      <c r="AP23" s="61"/>
      <c r="AQ23" s="61"/>
      <c r="AR23" s="61"/>
      <c r="AS23" s="61" t="e">
        <f t="shared" si="30"/>
        <v>#VALUE!</v>
      </c>
      <c r="AT23" s="105"/>
      <c r="AU23" s="105"/>
      <c r="AV23" s="61" t="e">
        <f t="shared" si="31"/>
        <v>#VALUE!</v>
      </c>
      <c r="AW23" s="61" t="e">
        <f t="shared" si="32"/>
        <v>#VALUE!</v>
      </c>
      <c r="AX23" s="61" t="e">
        <f t="shared" si="5"/>
        <v>#VALUE!</v>
      </c>
      <c r="AY23" s="61" t="e">
        <f t="shared" si="33"/>
        <v>#VALUE!</v>
      </c>
      <c r="AZ23" s="61" t="e">
        <f t="shared" si="34"/>
        <v>#VALUE!</v>
      </c>
      <c r="BA23" s="61" t="e">
        <f t="shared" si="35"/>
        <v>#VALUE!</v>
      </c>
      <c r="BB23" s="61">
        <f t="shared" si="36"/>
        <v>0</v>
      </c>
      <c r="BC23" s="105"/>
      <c r="BD23" s="62" t="e">
        <f t="shared" si="37"/>
        <v>#VALUE!</v>
      </c>
      <c r="BE23" s="105"/>
      <c r="BF23" s="115" t="s">
        <v>60</v>
      </c>
    </row>
    <row r="24" spans="1:58">
      <c r="A24" s="59">
        <v>18</v>
      </c>
      <c r="B24" s="103"/>
      <c r="C24" s="104"/>
      <c r="D24" s="105"/>
      <c r="E24" s="104"/>
      <c r="F24" s="106"/>
      <c r="G24" s="107"/>
      <c r="H24" s="105"/>
      <c r="I24" s="105"/>
      <c r="J24" s="105"/>
      <c r="K24" s="105"/>
      <c r="L24" s="105"/>
      <c r="M24" s="105"/>
      <c r="N24" s="105"/>
      <c r="O24" s="105"/>
      <c r="P24" s="105"/>
      <c r="Q24" s="105"/>
      <c r="R24" s="105"/>
      <c r="S24" s="105"/>
      <c r="T24" s="105"/>
      <c r="U24" s="105"/>
      <c r="V24" s="105"/>
      <c r="W24" s="105"/>
      <c r="X24" s="105"/>
      <c r="Y24" s="105"/>
      <c r="Z24" s="105"/>
      <c r="AA24" s="105"/>
      <c r="AB24" s="105"/>
      <c r="AC24" s="105"/>
      <c r="AD24" s="105"/>
      <c r="AE24" s="105"/>
      <c r="AF24" s="105"/>
      <c r="AG24" s="105"/>
      <c r="AH24" s="105"/>
      <c r="AI24" s="105"/>
      <c r="AJ24" s="105"/>
      <c r="AK24" s="105"/>
      <c r="AL24" s="97"/>
      <c r="AM24" s="60">
        <f t="shared" si="27"/>
        <v>0</v>
      </c>
      <c r="AN24" s="61">
        <f t="shared" si="28"/>
        <v>0</v>
      </c>
      <c r="AO24" s="61">
        <f t="shared" si="29"/>
        <v>0</v>
      </c>
      <c r="AP24" s="61"/>
      <c r="AQ24" s="61"/>
      <c r="AR24" s="61"/>
      <c r="AS24" s="61" t="e">
        <f t="shared" si="30"/>
        <v>#VALUE!</v>
      </c>
      <c r="AT24" s="105"/>
      <c r="AU24" s="105"/>
      <c r="AV24" s="61" t="e">
        <f t="shared" si="31"/>
        <v>#VALUE!</v>
      </c>
      <c r="AW24" s="61" t="e">
        <f t="shared" si="32"/>
        <v>#VALUE!</v>
      </c>
      <c r="AX24" s="61" t="e">
        <f t="shared" si="5"/>
        <v>#VALUE!</v>
      </c>
      <c r="AY24" s="61" t="e">
        <f t="shared" si="33"/>
        <v>#VALUE!</v>
      </c>
      <c r="AZ24" s="61" t="e">
        <f t="shared" si="34"/>
        <v>#VALUE!</v>
      </c>
      <c r="BA24" s="61" t="e">
        <f t="shared" si="35"/>
        <v>#VALUE!</v>
      </c>
      <c r="BB24" s="61">
        <f t="shared" si="36"/>
        <v>0</v>
      </c>
      <c r="BC24" s="105"/>
      <c r="BD24" s="62" t="e">
        <f t="shared" si="37"/>
        <v>#VALUE!</v>
      </c>
      <c r="BE24" s="105"/>
      <c r="BF24" s="115" t="s">
        <v>60</v>
      </c>
    </row>
    <row r="25" spans="1:58">
      <c r="A25" s="59">
        <v>19</v>
      </c>
      <c r="B25" s="103"/>
      <c r="C25" s="104"/>
      <c r="D25" s="105"/>
      <c r="E25" s="104"/>
      <c r="F25" s="106"/>
      <c r="G25" s="107"/>
      <c r="H25" s="105"/>
      <c r="I25" s="105"/>
      <c r="J25" s="105"/>
      <c r="K25" s="105"/>
      <c r="L25" s="105"/>
      <c r="M25" s="105"/>
      <c r="N25" s="105"/>
      <c r="O25" s="105"/>
      <c r="P25" s="105"/>
      <c r="Q25" s="105"/>
      <c r="R25" s="105"/>
      <c r="S25" s="105"/>
      <c r="T25" s="105"/>
      <c r="U25" s="105"/>
      <c r="V25" s="105"/>
      <c r="W25" s="105"/>
      <c r="X25" s="105"/>
      <c r="Y25" s="105"/>
      <c r="Z25" s="105"/>
      <c r="AA25" s="105"/>
      <c r="AB25" s="105"/>
      <c r="AC25" s="105"/>
      <c r="AD25" s="105"/>
      <c r="AE25" s="105"/>
      <c r="AF25" s="105"/>
      <c r="AG25" s="105"/>
      <c r="AH25" s="105"/>
      <c r="AI25" s="105"/>
      <c r="AJ25" s="105"/>
      <c r="AK25" s="105"/>
      <c r="AL25" s="97"/>
      <c r="AM25" s="60">
        <f t="shared" si="27"/>
        <v>0</v>
      </c>
      <c r="AN25" s="61">
        <f t="shared" si="28"/>
        <v>0</v>
      </c>
      <c r="AO25" s="61">
        <f t="shared" si="29"/>
        <v>0</v>
      </c>
      <c r="AP25" s="61"/>
      <c r="AQ25" s="61"/>
      <c r="AR25" s="61"/>
      <c r="AS25" s="61" t="e">
        <f t="shared" si="30"/>
        <v>#VALUE!</v>
      </c>
      <c r="AT25" s="105"/>
      <c r="AU25" s="105"/>
      <c r="AV25" s="61" t="e">
        <f t="shared" si="31"/>
        <v>#VALUE!</v>
      </c>
      <c r="AW25" s="61" t="e">
        <f t="shared" si="32"/>
        <v>#VALUE!</v>
      </c>
      <c r="AX25" s="61" t="e">
        <f t="shared" si="5"/>
        <v>#VALUE!</v>
      </c>
      <c r="AY25" s="61" t="e">
        <f t="shared" si="33"/>
        <v>#VALUE!</v>
      </c>
      <c r="AZ25" s="61" t="e">
        <f t="shared" si="34"/>
        <v>#VALUE!</v>
      </c>
      <c r="BA25" s="61" t="e">
        <f t="shared" si="35"/>
        <v>#VALUE!</v>
      </c>
      <c r="BB25" s="61">
        <f t="shared" si="36"/>
        <v>0</v>
      </c>
      <c r="BC25" s="105"/>
      <c r="BD25" s="62" t="e">
        <f t="shared" si="37"/>
        <v>#VALUE!</v>
      </c>
      <c r="BE25" s="105"/>
      <c r="BF25" s="115" t="s">
        <v>60</v>
      </c>
    </row>
    <row r="26" spans="1:58">
      <c r="A26" s="59">
        <v>20</v>
      </c>
      <c r="B26" s="103"/>
      <c r="C26" s="104"/>
      <c r="D26" s="105"/>
      <c r="E26" s="104"/>
      <c r="F26" s="106"/>
      <c r="G26" s="107"/>
      <c r="H26" s="105"/>
      <c r="I26" s="105"/>
      <c r="J26" s="105"/>
      <c r="K26" s="105"/>
      <c r="L26" s="105"/>
      <c r="M26" s="105"/>
      <c r="N26" s="105"/>
      <c r="O26" s="105"/>
      <c r="P26" s="105"/>
      <c r="Q26" s="105"/>
      <c r="R26" s="105"/>
      <c r="S26" s="105"/>
      <c r="T26" s="105"/>
      <c r="U26" s="105"/>
      <c r="V26" s="105"/>
      <c r="W26" s="105"/>
      <c r="X26" s="105"/>
      <c r="Y26" s="105"/>
      <c r="Z26" s="105"/>
      <c r="AA26" s="105"/>
      <c r="AB26" s="105"/>
      <c r="AC26" s="105"/>
      <c r="AD26" s="105"/>
      <c r="AE26" s="105"/>
      <c r="AF26" s="105"/>
      <c r="AG26" s="105"/>
      <c r="AH26" s="105"/>
      <c r="AI26" s="105"/>
      <c r="AJ26" s="105"/>
      <c r="AK26" s="105"/>
      <c r="AL26" s="97"/>
      <c r="AM26" s="60">
        <f t="shared" si="27"/>
        <v>0</v>
      </c>
      <c r="AN26" s="61">
        <f t="shared" si="28"/>
        <v>0</v>
      </c>
      <c r="AO26" s="61">
        <f t="shared" si="29"/>
        <v>0</v>
      </c>
      <c r="AP26" s="61"/>
      <c r="AQ26" s="61"/>
      <c r="AR26" s="61"/>
      <c r="AS26" s="61" t="e">
        <f t="shared" si="30"/>
        <v>#VALUE!</v>
      </c>
      <c r="AT26" s="105"/>
      <c r="AU26" s="105"/>
      <c r="AV26" s="61" t="e">
        <f t="shared" si="31"/>
        <v>#VALUE!</v>
      </c>
      <c r="AW26" s="61" t="e">
        <f t="shared" si="32"/>
        <v>#VALUE!</v>
      </c>
      <c r="AX26" s="61" t="e">
        <f t="shared" si="5"/>
        <v>#VALUE!</v>
      </c>
      <c r="AY26" s="61" t="e">
        <f t="shared" si="33"/>
        <v>#VALUE!</v>
      </c>
      <c r="AZ26" s="61" t="e">
        <f t="shared" si="34"/>
        <v>#VALUE!</v>
      </c>
      <c r="BA26" s="61" t="e">
        <f t="shared" si="35"/>
        <v>#VALUE!</v>
      </c>
      <c r="BB26" s="61">
        <f t="shared" si="36"/>
        <v>0</v>
      </c>
      <c r="BC26" s="105"/>
      <c r="BD26" s="62" t="e">
        <f t="shared" si="37"/>
        <v>#VALUE!</v>
      </c>
      <c r="BE26" s="105"/>
      <c r="BF26" s="115" t="s">
        <v>60</v>
      </c>
    </row>
    <row r="27" spans="1:58">
      <c r="A27" s="59">
        <v>21</v>
      </c>
      <c r="B27" s="103"/>
      <c r="C27" s="104"/>
      <c r="D27" s="105"/>
      <c r="E27" s="104"/>
      <c r="F27" s="106"/>
      <c r="G27" s="107"/>
      <c r="H27" s="105"/>
      <c r="I27" s="105"/>
      <c r="J27" s="105"/>
      <c r="K27" s="105"/>
      <c r="L27" s="105"/>
      <c r="M27" s="105"/>
      <c r="N27" s="105"/>
      <c r="O27" s="105"/>
      <c r="P27" s="105"/>
      <c r="Q27" s="105"/>
      <c r="R27" s="105"/>
      <c r="S27" s="105"/>
      <c r="T27" s="105"/>
      <c r="U27" s="105"/>
      <c r="V27" s="105"/>
      <c r="W27" s="105"/>
      <c r="X27" s="105"/>
      <c r="Y27" s="105"/>
      <c r="Z27" s="105"/>
      <c r="AA27" s="105"/>
      <c r="AB27" s="105"/>
      <c r="AC27" s="105"/>
      <c r="AD27" s="105"/>
      <c r="AE27" s="105"/>
      <c r="AF27" s="105"/>
      <c r="AG27" s="105"/>
      <c r="AH27" s="105"/>
      <c r="AI27" s="105"/>
      <c r="AJ27" s="105"/>
      <c r="AK27" s="105"/>
      <c r="AL27" s="97"/>
      <c r="AM27" s="60">
        <f t="shared" si="27"/>
        <v>0</v>
      </c>
      <c r="AN27" s="61">
        <f t="shared" si="28"/>
        <v>0</v>
      </c>
      <c r="AO27" s="61">
        <f t="shared" si="29"/>
        <v>0</v>
      </c>
      <c r="AP27" s="61"/>
      <c r="AQ27" s="61"/>
      <c r="AR27" s="61"/>
      <c r="AS27" s="61" t="e">
        <f t="shared" si="30"/>
        <v>#VALUE!</v>
      </c>
      <c r="AT27" s="105"/>
      <c r="AU27" s="105"/>
      <c r="AV27" s="61" t="e">
        <f t="shared" si="31"/>
        <v>#VALUE!</v>
      </c>
      <c r="AW27" s="61" t="e">
        <f t="shared" si="32"/>
        <v>#VALUE!</v>
      </c>
      <c r="AX27" s="61" t="e">
        <f t="shared" si="5"/>
        <v>#VALUE!</v>
      </c>
      <c r="AY27" s="61" t="e">
        <f t="shared" si="33"/>
        <v>#VALUE!</v>
      </c>
      <c r="AZ27" s="61" t="e">
        <f t="shared" si="34"/>
        <v>#VALUE!</v>
      </c>
      <c r="BA27" s="61" t="e">
        <f t="shared" si="35"/>
        <v>#VALUE!</v>
      </c>
      <c r="BB27" s="61">
        <f t="shared" si="36"/>
        <v>0</v>
      </c>
      <c r="BC27" s="105"/>
      <c r="BD27" s="62" t="e">
        <f t="shared" si="37"/>
        <v>#VALUE!</v>
      </c>
      <c r="BE27" s="105"/>
      <c r="BF27" s="115" t="s">
        <v>60</v>
      </c>
    </row>
    <row r="28" spans="1:58">
      <c r="A28" s="59">
        <v>22</v>
      </c>
      <c r="B28" s="103"/>
      <c r="C28" s="104"/>
      <c r="D28" s="105"/>
      <c r="E28" s="104"/>
      <c r="F28" s="106"/>
      <c r="G28" s="107"/>
      <c r="H28" s="105"/>
      <c r="I28" s="105"/>
      <c r="J28" s="105"/>
      <c r="K28" s="105"/>
      <c r="L28" s="105"/>
      <c r="M28" s="105"/>
      <c r="N28" s="105"/>
      <c r="O28" s="105"/>
      <c r="P28" s="105"/>
      <c r="Q28" s="105"/>
      <c r="R28" s="105"/>
      <c r="S28" s="105"/>
      <c r="T28" s="105"/>
      <c r="U28" s="105"/>
      <c r="V28" s="105"/>
      <c r="W28" s="105"/>
      <c r="X28" s="105"/>
      <c r="Y28" s="105"/>
      <c r="Z28" s="105"/>
      <c r="AA28" s="105"/>
      <c r="AB28" s="105"/>
      <c r="AC28" s="105"/>
      <c r="AD28" s="105"/>
      <c r="AE28" s="105"/>
      <c r="AF28" s="105"/>
      <c r="AG28" s="105"/>
      <c r="AH28" s="105"/>
      <c r="AI28" s="105"/>
      <c r="AJ28" s="105"/>
      <c r="AK28" s="105"/>
      <c r="AL28" s="97"/>
      <c r="AM28" s="60">
        <f t="shared" si="27"/>
        <v>0</v>
      </c>
      <c r="AN28" s="61">
        <f t="shared" si="28"/>
        <v>0</v>
      </c>
      <c r="AO28" s="61">
        <f t="shared" si="29"/>
        <v>0</v>
      </c>
      <c r="AP28" s="61"/>
      <c r="AQ28" s="61"/>
      <c r="AR28" s="61"/>
      <c r="AS28" s="61" t="e">
        <f t="shared" si="30"/>
        <v>#VALUE!</v>
      </c>
      <c r="AT28" s="105"/>
      <c r="AU28" s="105"/>
      <c r="AV28" s="61" t="e">
        <f t="shared" si="31"/>
        <v>#VALUE!</v>
      </c>
      <c r="AW28" s="61" t="e">
        <f t="shared" si="32"/>
        <v>#VALUE!</v>
      </c>
      <c r="AX28" s="61" t="e">
        <f t="shared" si="5"/>
        <v>#VALUE!</v>
      </c>
      <c r="AY28" s="61" t="e">
        <f t="shared" si="33"/>
        <v>#VALUE!</v>
      </c>
      <c r="AZ28" s="61" t="e">
        <f t="shared" si="34"/>
        <v>#VALUE!</v>
      </c>
      <c r="BA28" s="61" t="e">
        <f t="shared" si="35"/>
        <v>#VALUE!</v>
      </c>
      <c r="BB28" s="61">
        <f t="shared" si="36"/>
        <v>0</v>
      </c>
      <c r="BC28" s="105"/>
      <c r="BD28" s="62" t="e">
        <f t="shared" si="37"/>
        <v>#VALUE!</v>
      </c>
      <c r="BE28" s="105"/>
      <c r="BF28" s="115" t="s">
        <v>60</v>
      </c>
    </row>
    <row r="29" spans="1:58">
      <c r="A29" s="59">
        <v>23</v>
      </c>
      <c r="B29" s="103"/>
      <c r="C29" s="104"/>
      <c r="D29" s="105"/>
      <c r="E29" s="104"/>
      <c r="F29" s="106"/>
      <c r="G29" s="107"/>
      <c r="H29" s="105"/>
      <c r="I29" s="105"/>
      <c r="J29" s="105"/>
      <c r="K29" s="105"/>
      <c r="L29" s="105"/>
      <c r="M29" s="105"/>
      <c r="N29" s="105"/>
      <c r="O29" s="105"/>
      <c r="P29" s="105"/>
      <c r="Q29" s="105"/>
      <c r="R29" s="105"/>
      <c r="S29" s="105"/>
      <c r="T29" s="105"/>
      <c r="U29" s="105"/>
      <c r="V29" s="105"/>
      <c r="W29" s="105"/>
      <c r="X29" s="105"/>
      <c r="Y29" s="105"/>
      <c r="Z29" s="105"/>
      <c r="AA29" s="105"/>
      <c r="AB29" s="105"/>
      <c r="AC29" s="105"/>
      <c r="AD29" s="105"/>
      <c r="AE29" s="105"/>
      <c r="AF29" s="105"/>
      <c r="AG29" s="105"/>
      <c r="AH29" s="105"/>
      <c r="AI29" s="105"/>
      <c r="AJ29" s="105"/>
      <c r="AK29" s="105"/>
      <c r="AL29" s="97"/>
      <c r="AM29" s="60">
        <f t="shared" si="27"/>
        <v>0</v>
      </c>
      <c r="AN29" s="61">
        <f t="shared" si="28"/>
        <v>0</v>
      </c>
      <c r="AO29" s="61">
        <f t="shared" si="29"/>
        <v>0</v>
      </c>
      <c r="AP29" s="61"/>
      <c r="AQ29" s="61"/>
      <c r="AR29" s="61"/>
      <c r="AS29" s="61" t="e">
        <f t="shared" si="30"/>
        <v>#VALUE!</v>
      </c>
      <c r="AT29" s="105"/>
      <c r="AU29" s="105"/>
      <c r="AV29" s="61" t="e">
        <f t="shared" si="31"/>
        <v>#VALUE!</v>
      </c>
      <c r="AW29" s="61" t="e">
        <f t="shared" si="32"/>
        <v>#VALUE!</v>
      </c>
      <c r="AX29" s="61" t="e">
        <f t="shared" si="5"/>
        <v>#VALUE!</v>
      </c>
      <c r="AY29" s="61" t="e">
        <f t="shared" si="33"/>
        <v>#VALUE!</v>
      </c>
      <c r="AZ29" s="61" t="e">
        <f t="shared" si="34"/>
        <v>#VALUE!</v>
      </c>
      <c r="BA29" s="61" t="e">
        <f t="shared" si="35"/>
        <v>#VALUE!</v>
      </c>
      <c r="BB29" s="61">
        <f t="shared" si="36"/>
        <v>0</v>
      </c>
      <c r="BC29" s="105"/>
      <c r="BD29" s="62" t="e">
        <f t="shared" si="37"/>
        <v>#VALUE!</v>
      </c>
      <c r="BE29" s="105"/>
      <c r="BF29" s="115" t="s">
        <v>60</v>
      </c>
    </row>
    <row r="30" spans="1:58">
      <c r="A30" s="59">
        <v>24</v>
      </c>
      <c r="B30" s="103"/>
      <c r="C30" s="104"/>
      <c r="D30" s="105"/>
      <c r="E30" s="104"/>
      <c r="F30" s="106"/>
      <c r="G30" s="107"/>
      <c r="H30" s="105"/>
      <c r="I30" s="105"/>
      <c r="J30" s="105"/>
      <c r="K30" s="105"/>
      <c r="L30" s="105"/>
      <c r="M30" s="105"/>
      <c r="N30" s="105"/>
      <c r="O30" s="105"/>
      <c r="P30" s="105"/>
      <c r="Q30" s="105"/>
      <c r="R30" s="105"/>
      <c r="S30" s="105"/>
      <c r="T30" s="105"/>
      <c r="U30" s="105"/>
      <c r="V30" s="105"/>
      <c r="W30" s="105"/>
      <c r="X30" s="105"/>
      <c r="Y30" s="105"/>
      <c r="Z30" s="105"/>
      <c r="AA30" s="105"/>
      <c r="AB30" s="105"/>
      <c r="AC30" s="105"/>
      <c r="AD30" s="105"/>
      <c r="AE30" s="105"/>
      <c r="AF30" s="105"/>
      <c r="AG30" s="105"/>
      <c r="AH30" s="105"/>
      <c r="AI30" s="105"/>
      <c r="AJ30" s="105"/>
      <c r="AK30" s="105"/>
      <c r="AL30" s="97"/>
      <c r="AM30" s="60">
        <f t="shared" si="27"/>
        <v>0</v>
      </c>
      <c r="AN30" s="61">
        <f t="shared" si="28"/>
        <v>0</v>
      </c>
      <c r="AO30" s="61">
        <f t="shared" si="29"/>
        <v>0</v>
      </c>
      <c r="AP30" s="61"/>
      <c r="AQ30" s="61"/>
      <c r="AR30" s="61"/>
      <c r="AS30" s="61" t="e">
        <f t="shared" si="30"/>
        <v>#VALUE!</v>
      </c>
      <c r="AT30" s="105"/>
      <c r="AU30" s="105"/>
      <c r="AV30" s="61" t="e">
        <f t="shared" si="31"/>
        <v>#VALUE!</v>
      </c>
      <c r="AW30" s="61" t="e">
        <f t="shared" si="32"/>
        <v>#VALUE!</v>
      </c>
      <c r="AX30" s="61" t="e">
        <f t="shared" si="5"/>
        <v>#VALUE!</v>
      </c>
      <c r="AY30" s="61" t="e">
        <f t="shared" si="33"/>
        <v>#VALUE!</v>
      </c>
      <c r="AZ30" s="61" t="e">
        <f t="shared" si="34"/>
        <v>#VALUE!</v>
      </c>
      <c r="BA30" s="61" t="e">
        <f t="shared" si="35"/>
        <v>#VALUE!</v>
      </c>
      <c r="BB30" s="61">
        <f t="shared" si="36"/>
        <v>0</v>
      </c>
      <c r="BC30" s="105"/>
      <c r="BD30" s="62" t="e">
        <f t="shared" si="37"/>
        <v>#VALUE!</v>
      </c>
      <c r="BE30" s="105"/>
      <c r="BF30" s="115" t="s">
        <v>60</v>
      </c>
    </row>
    <row r="31" spans="1:58">
      <c r="A31" s="59">
        <v>25</v>
      </c>
      <c r="B31" s="103"/>
      <c r="C31" s="104"/>
      <c r="D31" s="105"/>
      <c r="E31" s="104"/>
      <c r="F31" s="106"/>
      <c r="G31" s="107"/>
      <c r="H31" s="105"/>
      <c r="I31" s="105"/>
      <c r="J31" s="105"/>
      <c r="K31" s="105"/>
      <c r="L31" s="105"/>
      <c r="M31" s="105"/>
      <c r="N31" s="105"/>
      <c r="O31" s="105"/>
      <c r="P31" s="105"/>
      <c r="Q31" s="105"/>
      <c r="R31" s="105"/>
      <c r="S31" s="105"/>
      <c r="T31" s="105"/>
      <c r="U31" s="105"/>
      <c r="V31" s="105"/>
      <c r="W31" s="105"/>
      <c r="X31" s="105"/>
      <c r="Y31" s="105"/>
      <c r="Z31" s="105"/>
      <c r="AA31" s="105"/>
      <c r="AB31" s="105"/>
      <c r="AC31" s="105"/>
      <c r="AD31" s="105"/>
      <c r="AE31" s="105"/>
      <c r="AF31" s="105"/>
      <c r="AG31" s="105"/>
      <c r="AH31" s="105"/>
      <c r="AI31" s="105"/>
      <c r="AJ31" s="105"/>
      <c r="AK31" s="105"/>
      <c r="AL31" s="97"/>
      <c r="AM31" s="60">
        <f t="shared" si="27"/>
        <v>0</v>
      </c>
      <c r="AN31" s="61">
        <f t="shared" si="28"/>
        <v>0</v>
      </c>
      <c r="AO31" s="61">
        <f t="shared" si="29"/>
        <v>0</v>
      </c>
      <c r="AP31" s="61"/>
      <c r="AQ31" s="61"/>
      <c r="AR31" s="61"/>
      <c r="AS31" s="61" t="e">
        <f t="shared" si="30"/>
        <v>#VALUE!</v>
      </c>
      <c r="AT31" s="105"/>
      <c r="AU31" s="105"/>
      <c r="AV31" s="61" t="e">
        <f t="shared" si="31"/>
        <v>#VALUE!</v>
      </c>
      <c r="AW31" s="61" t="e">
        <f t="shared" si="32"/>
        <v>#VALUE!</v>
      </c>
      <c r="AX31" s="61" t="e">
        <f t="shared" si="5"/>
        <v>#VALUE!</v>
      </c>
      <c r="AY31" s="61" t="e">
        <f t="shared" si="33"/>
        <v>#VALUE!</v>
      </c>
      <c r="AZ31" s="61" t="e">
        <f t="shared" si="34"/>
        <v>#VALUE!</v>
      </c>
      <c r="BA31" s="61" t="e">
        <f t="shared" si="35"/>
        <v>#VALUE!</v>
      </c>
      <c r="BB31" s="61">
        <f t="shared" si="36"/>
        <v>0</v>
      </c>
      <c r="BC31" s="105"/>
      <c r="BD31" s="62" t="e">
        <f t="shared" si="37"/>
        <v>#VALUE!</v>
      </c>
      <c r="BE31" s="105"/>
      <c r="BF31" s="115" t="s">
        <v>60</v>
      </c>
    </row>
    <row r="32" spans="1:58">
      <c r="A32" s="59">
        <v>26</v>
      </c>
      <c r="B32" s="103"/>
      <c r="C32" s="104"/>
      <c r="D32" s="105"/>
      <c r="E32" s="104"/>
      <c r="F32" s="106"/>
      <c r="G32" s="107"/>
      <c r="H32" s="105"/>
      <c r="I32" s="105"/>
      <c r="J32" s="105"/>
      <c r="K32" s="105"/>
      <c r="L32" s="105"/>
      <c r="M32" s="105"/>
      <c r="N32" s="105"/>
      <c r="O32" s="105"/>
      <c r="P32" s="105"/>
      <c r="Q32" s="105"/>
      <c r="R32" s="105"/>
      <c r="S32" s="105"/>
      <c r="T32" s="105"/>
      <c r="U32" s="105"/>
      <c r="V32" s="105"/>
      <c r="W32" s="105"/>
      <c r="X32" s="105"/>
      <c r="Y32" s="105"/>
      <c r="Z32" s="105"/>
      <c r="AA32" s="105"/>
      <c r="AB32" s="105"/>
      <c r="AC32" s="105"/>
      <c r="AD32" s="105"/>
      <c r="AE32" s="105"/>
      <c r="AF32" s="105"/>
      <c r="AG32" s="105"/>
      <c r="AH32" s="105"/>
      <c r="AI32" s="105"/>
      <c r="AJ32" s="105"/>
      <c r="AK32" s="105"/>
      <c r="AL32" s="97"/>
      <c r="AM32" s="60">
        <f t="shared" si="27"/>
        <v>0</v>
      </c>
      <c r="AN32" s="61">
        <f t="shared" si="28"/>
        <v>0</v>
      </c>
      <c r="AO32" s="61">
        <f t="shared" si="29"/>
        <v>0</v>
      </c>
      <c r="AP32" s="61"/>
      <c r="AQ32" s="61"/>
      <c r="AR32" s="61"/>
      <c r="AS32" s="61" t="e">
        <f t="shared" si="30"/>
        <v>#VALUE!</v>
      </c>
      <c r="AT32" s="105"/>
      <c r="AU32" s="105"/>
      <c r="AV32" s="61" t="e">
        <f t="shared" si="31"/>
        <v>#VALUE!</v>
      </c>
      <c r="AW32" s="61" t="e">
        <f t="shared" si="32"/>
        <v>#VALUE!</v>
      </c>
      <c r="AX32" s="61" t="e">
        <f t="shared" si="5"/>
        <v>#VALUE!</v>
      </c>
      <c r="AY32" s="61" t="e">
        <f t="shared" si="33"/>
        <v>#VALUE!</v>
      </c>
      <c r="AZ32" s="61" t="e">
        <f t="shared" si="34"/>
        <v>#VALUE!</v>
      </c>
      <c r="BA32" s="61" t="e">
        <f t="shared" si="35"/>
        <v>#VALUE!</v>
      </c>
      <c r="BB32" s="61">
        <f t="shared" si="36"/>
        <v>0</v>
      </c>
      <c r="BC32" s="105"/>
      <c r="BD32" s="62" t="e">
        <f t="shared" si="37"/>
        <v>#VALUE!</v>
      </c>
      <c r="BE32" s="105"/>
      <c r="BF32" s="115" t="s">
        <v>60</v>
      </c>
    </row>
    <row r="33" spans="1:58">
      <c r="A33" s="59">
        <v>27</v>
      </c>
      <c r="B33" s="103"/>
      <c r="C33" s="104"/>
      <c r="D33" s="105"/>
      <c r="E33" s="104"/>
      <c r="F33" s="106"/>
      <c r="G33" s="107"/>
      <c r="H33" s="105"/>
      <c r="I33" s="105"/>
      <c r="J33" s="105"/>
      <c r="K33" s="105"/>
      <c r="L33" s="105"/>
      <c r="M33" s="105"/>
      <c r="N33" s="105"/>
      <c r="O33" s="105"/>
      <c r="P33" s="105"/>
      <c r="Q33" s="105"/>
      <c r="R33" s="105"/>
      <c r="S33" s="105"/>
      <c r="T33" s="105"/>
      <c r="U33" s="105"/>
      <c r="V33" s="105"/>
      <c r="W33" s="105"/>
      <c r="X33" s="105"/>
      <c r="Y33" s="105"/>
      <c r="Z33" s="105"/>
      <c r="AA33" s="105"/>
      <c r="AB33" s="105"/>
      <c r="AC33" s="105"/>
      <c r="AD33" s="105"/>
      <c r="AE33" s="105"/>
      <c r="AF33" s="105"/>
      <c r="AG33" s="105"/>
      <c r="AH33" s="105"/>
      <c r="AI33" s="105"/>
      <c r="AJ33" s="105"/>
      <c r="AK33" s="105"/>
      <c r="AL33" s="97"/>
      <c r="AM33" s="60">
        <f t="shared" si="27"/>
        <v>0</v>
      </c>
      <c r="AN33" s="61">
        <f t="shared" si="28"/>
        <v>0</v>
      </c>
      <c r="AO33" s="61">
        <f t="shared" si="29"/>
        <v>0</v>
      </c>
      <c r="AP33" s="61"/>
      <c r="AQ33" s="61"/>
      <c r="AR33" s="61"/>
      <c r="AS33" s="61" t="e">
        <f t="shared" si="30"/>
        <v>#VALUE!</v>
      </c>
      <c r="AT33" s="105"/>
      <c r="AU33" s="105"/>
      <c r="AV33" s="61" t="e">
        <f t="shared" si="31"/>
        <v>#VALUE!</v>
      </c>
      <c r="AW33" s="61" t="e">
        <f t="shared" si="32"/>
        <v>#VALUE!</v>
      </c>
      <c r="AX33" s="61" t="e">
        <f t="shared" si="5"/>
        <v>#VALUE!</v>
      </c>
      <c r="AY33" s="61" t="e">
        <f t="shared" si="33"/>
        <v>#VALUE!</v>
      </c>
      <c r="AZ33" s="61" t="e">
        <f t="shared" si="34"/>
        <v>#VALUE!</v>
      </c>
      <c r="BA33" s="61" t="e">
        <f t="shared" si="35"/>
        <v>#VALUE!</v>
      </c>
      <c r="BB33" s="61">
        <f t="shared" si="36"/>
        <v>0</v>
      </c>
      <c r="BC33" s="105"/>
      <c r="BD33" s="62" t="e">
        <f t="shared" si="37"/>
        <v>#VALUE!</v>
      </c>
      <c r="BE33" s="105"/>
      <c r="BF33" s="115" t="s">
        <v>60</v>
      </c>
    </row>
    <row r="34" spans="1:58">
      <c r="A34" s="59">
        <v>28</v>
      </c>
      <c r="B34" s="103"/>
      <c r="C34" s="104"/>
      <c r="D34" s="105"/>
      <c r="E34" s="104"/>
      <c r="F34" s="106"/>
      <c r="G34" s="107"/>
      <c r="H34" s="105"/>
      <c r="I34" s="105"/>
      <c r="J34" s="105"/>
      <c r="K34" s="105"/>
      <c r="L34" s="105"/>
      <c r="M34" s="105"/>
      <c r="N34" s="105"/>
      <c r="O34" s="105"/>
      <c r="P34" s="105"/>
      <c r="Q34" s="105"/>
      <c r="R34" s="105"/>
      <c r="S34" s="105"/>
      <c r="T34" s="105"/>
      <c r="U34" s="105"/>
      <c r="V34" s="105"/>
      <c r="W34" s="105"/>
      <c r="X34" s="105"/>
      <c r="Y34" s="105"/>
      <c r="Z34" s="105"/>
      <c r="AA34" s="105"/>
      <c r="AB34" s="105"/>
      <c r="AC34" s="105"/>
      <c r="AD34" s="105"/>
      <c r="AE34" s="105"/>
      <c r="AF34" s="105"/>
      <c r="AG34" s="105"/>
      <c r="AH34" s="105"/>
      <c r="AI34" s="105"/>
      <c r="AJ34" s="105"/>
      <c r="AK34" s="105"/>
      <c r="AL34" s="97"/>
      <c r="AM34" s="60">
        <f t="shared" si="27"/>
        <v>0</v>
      </c>
      <c r="AN34" s="61">
        <f t="shared" si="28"/>
        <v>0</v>
      </c>
      <c r="AO34" s="61">
        <f t="shared" si="29"/>
        <v>0</v>
      </c>
      <c r="AP34" s="61"/>
      <c r="AQ34" s="61"/>
      <c r="AR34" s="61"/>
      <c r="AS34" s="61" t="e">
        <f t="shared" si="30"/>
        <v>#VALUE!</v>
      </c>
      <c r="AT34" s="105"/>
      <c r="AU34" s="105"/>
      <c r="AV34" s="61" t="e">
        <f t="shared" si="31"/>
        <v>#VALUE!</v>
      </c>
      <c r="AW34" s="61" t="e">
        <f t="shared" si="32"/>
        <v>#VALUE!</v>
      </c>
      <c r="AX34" s="61" t="e">
        <f t="shared" si="5"/>
        <v>#VALUE!</v>
      </c>
      <c r="AY34" s="61" t="e">
        <f t="shared" si="33"/>
        <v>#VALUE!</v>
      </c>
      <c r="AZ34" s="61" t="e">
        <f t="shared" si="34"/>
        <v>#VALUE!</v>
      </c>
      <c r="BA34" s="61" t="e">
        <f t="shared" si="35"/>
        <v>#VALUE!</v>
      </c>
      <c r="BB34" s="61">
        <f t="shared" si="36"/>
        <v>0</v>
      </c>
      <c r="BC34" s="105"/>
      <c r="BD34" s="62" t="e">
        <f t="shared" si="37"/>
        <v>#VALUE!</v>
      </c>
      <c r="BE34" s="105"/>
      <c r="BF34" s="115" t="s">
        <v>60</v>
      </c>
    </row>
    <row r="35" spans="1:58">
      <c r="A35" s="59">
        <v>29</v>
      </c>
      <c r="B35" s="103"/>
      <c r="C35" s="104"/>
      <c r="D35" s="105"/>
      <c r="E35" s="104"/>
      <c r="F35" s="106"/>
      <c r="G35" s="107"/>
      <c r="H35" s="105"/>
      <c r="I35" s="105"/>
      <c r="J35" s="105"/>
      <c r="K35" s="105"/>
      <c r="L35" s="105"/>
      <c r="M35" s="105"/>
      <c r="N35" s="105"/>
      <c r="O35" s="105"/>
      <c r="P35" s="105"/>
      <c r="Q35" s="105"/>
      <c r="R35" s="105"/>
      <c r="S35" s="105"/>
      <c r="T35" s="105"/>
      <c r="U35" s="105"/>
      <c r="V35" s="105"/>
      <c r="W35" s="105"/>
      <c r="X35" s="105"/>
      <c r="Y35" s="105"/>
      <c r="Z35" s="105"/>
      <c r="AA35" s="105"/>
      <c r="AB35" s="105"/>
      <c r="AC35" s="105"/>
      <c r="AD35" s="105"/>
      <c r="AE35" s="105"/>
      <c r="AF35" s="105"/>
      <c r="AG35" s="105"/>
      <c r="AH35" s="105"/>
      <c r="AI35" s="105"/>
      <c r="AJ35" s="105"/>
      <c r="AK35" s="105"/>
      <c r="AL35" s="97"/>
      <c r="AM35" s="60">
        <f t="shared" si="27"/>
        <v>0</v>
      </c>
      <c r="AN35" s="61">
        <f t="shared" si="28"/>
        <v>0</v>
      </c>
      <c r="AO35" s="61">
        <f t="shared" si="29"/>
        <v>0</v>
      </c>
      <c r="AP35" s="61"/>
      <c r="AQ35" s="61"/>
      <c r="AR35" s="61"/>
      <c r="AS35" s="61" t="e">
        <f t="shared" si="30"/>
        <v>#VALUE!</v>
      </c>
      <c r="AT35" s="105"/>
      <c r="AU35" s="105"/>
      <c r="AV35" s="61" t="e">
        <f t="shared" si="31"/>
        <v>#VALUE!</v>
      </c>
      <c r="AW35" s="61" t="e">
        <f t="shared" si="32"/>
        <v>#VALUE!</v>
      </c>
      <c r="AX35" s="61" t="e">
        <f t="shared" si="5"/>
        <v>#VALUE!</v>
      </c>
      <c r="AY35" s="61" t="e">
        <f t="shared" si="33"/>
        <v>#VALUE!</v>
      </c>
      <c r="AZ35" s="61" t="e">
        <f t="shared" si="34"/>
        <v>#VALUE!</v>
      </c>
      <c r="BA35" s="61" t="e">
        <f t="shared" si="35"/>
        <v>#VALUE!</v>
      </c>
      <c r="BB35" s="61">
        <f t="shared" si="36"/>
        <v>0</v>
      </c>
      <c r="BC35" s="105"/>
      <c r="BD35" s="62" t="e">
        <f t="shared" si="37"/>
        <v>#VALUE!</v>
      </c>
      <c r="BE35" s="105"/>
      <c r="BF35" s="115" t="s">
        <v>60</v>
      </c>
    </row>
    <row r="36" spans="1:58">
      <c r="A36" s="59">
        <v>30</v>
      </c>
      <c r="B36" s="103"/>
      <c r="C36" s="104"/>
      <c r="D36" s="105"/>
      <c r="E36" s="104"/>
      <c r="F36" s="106"/>
      <c r="G36" s="107"/>
      <c r="H36" s="105"/>
      <c r="I36" s="105"/>
      <c r="J36" s="105"/>
      <c r="K36" s="105"/>
      <c r="L36" s="105"/>
      <c r="M36" s="105"/>
      <c r="N36" s="105"/>
      <c r="O36" s="105"/>
      <c r="P36" s="105"/>
      <c r="Q36" s="105"/>
      <c r="R36" s="105"/>
      <c r="S36" s="105"/>
      <c r="T36" s="105"/>
      <c r="U36" s="105"/>
      <c r="V36" s="105"/>
      <c r="W36" s="105"/>
      <c r="X36" s="105"/>
      <c r="Y36" s="105"/>
      <c r="Z36" s="105"/>
      <c r="AA36" s="105"/>
      <c r="AB36" s="105"/>
      <c r="AC36" s="105"/>
      <c r="AD36" s="105"/>
      <c r="AE36" s="105"/>
      <c r="AF36" s="105"/>
      <c r="AG36" s="105"/>
      <c r="AH36" s="105"/>
      <c r="AI36" s="105"/>
      <c r="AJ36" s="105"/>
      <c r="AK36" s="105"/>
      <c r="AL36" s="97"/>
      <c r="AM36" s="60">
        <f t="shared" si="27"/>
        <v>0</v>
      </c>
      <c r="AN36" s="61">
        <f t="shared" si="28"/>
        <v>0</v>
      </c>
      <c r="AO36" s="61">
        <f t="shared" si="29"/>
        <v>0</v>
      </c>
      <c r="AP36" s="61"/>
      <c r="AQ36" s="61"/>
      <c r="AR36" s="61"/>
      <c r="AS36" s="61" t="e">
        <f t="shared" si="30"/>
        <v>#VALUE!</v>
      </c>
      <c r="AT36" s="105"/>
      <c r="AU36" s="105"/>
      <c r="AV36" s="61" t="e">
        <f t="shared" si="31"/>
        <v>#VALUE!</v>
      </c>
      <c r="AW36" s="61" t="e">
        <f t="shared" si="32"/>
        <v>#VALUE!</v>
      </c>
      <c r="AX36" s="61" t="e">
        <f t="shared" si="5"/>
        <v>#VALUE!</v>
      </c>
      <c r="AY36" s="61" t="e">
        <f t="shared" si="33"/>
        <v>#VALUE!</v>
      </c>
      <c r="AZ36" s="61" t="e">
        <f t="shared" si="34"/>
        <v>#VALUE!</v>
      </c>
      <c r="BA36" s="61" t="e">
        <f t="shared" si="35"/>
        <v>#VALUE!</v>
      </c>
      <c r="BB36" s="61">
        <f t="shared" si="36"/>
        <v>0</v>
      </c>
      <c r="BC36" s="105"/>
      <c r="BD36" s="62" t="e">
        <f t="shared" si="37"/>
        <v>#VALUE!</v>
      </c>
      <c r="BE36" s="105"/>
      <c r="BF36" s="115" t="s">
        <v>60</v>
      </c>
    </row>
    <row r="48" spans="1:58">
      <c r="O48" s="11"/>
      <c r="P48" s="11"/>
      <c r="Q48" s="11"/>
      <c r="R48" s="11"/>
      <c r="S48" s="11"/>
      <c r="T48" s="11"/>
    </row>
    <row r="52" spans="15:17">
      <c r="O52" s="63"/>
    </row>
    <row r="53" spans="15:17">
      <c r="Q53" s="63"/>
    </row>
  </sheetData>
  <sheetProtection algorithmName="SHA-512" hashValue="a0WJJMtnvHZI+rjy5Fhf+qDr8UGTheuxD28pgehuxKBhpzrOerOJX1lszkwAp3l2ZacUiIRW/K0mF1kp4+LCTQ==" saltValue="7E/xkdFczAEzGUAyebzxWA==" spinCount="100000" sheet="1" insertRows="0" autoFilter="0"/>
  <autoFilter ref="A5:BF5" xr:uid="{4DC4EC1F-5A98-4CCF-A829-C0217C2F51B7}"/>
  <mergeCells count="2">
    <mergeCell ref="A2:B2"/>
    <mergeCell ref="G2:AL2"/>
  </mergeCells>
  <conditionalFormatting sqref="G5:AL5">
    <cfRule type="containsText" dxfId="15" priority="8" operator="containsText" text="RH">
      <formula>NOT(ISERROR(SEARCH("RH",G5)))</formula>
    </cfRule>
  </conditionalFormatting>
  <conditionalFormatting sqref="G6:AL6">
    <cfRule type="expression" dxfId="14" priority="7">
      <formula>$G$4:$AL$4=""</formula>
    </cfRule>
  </conditionalFormatting>
  <conditionalFormatting sqref="G4:AL4">
    <cfRule type="expression" dxfId="13" priority="6">
      <formula>$G$4:$AL$4&gt;"$D$2"</formula>
    </cfRule>
  </conditionalFormatting>
  <conditionalFormatting sqref="AI4">
    <cfRule type="expression" dxfId="12" priority="5">
      <formula>$AI$4&gt;$D$2</formula>
    </cfRule>
  </conditionalFormatting>
  <conditionalFormatting sqref="AJ4">
    <cfRule type="expression" dxfId="11" priority="4">
      <formula>$AJ$4&gt;$D$2</formula>
    </cfRule>
  </conditionalFormatting>
  <conditionalFormatting sqref="AK4">
    <cfRule type="expression" dxfId="10" priority="3">
      <formula>$AK$4&gt;$D$2</formula>
    </cfRule>
  </conditionalFormatting>
  <conditionalFormatting sqref="AL4">
    <cfRule type="expression" dxfId="9" priority="2">
      <formula>$AL$4&gt;$D$2</formula>
    </cfRule>
  </conditionalFormatting>
  <conditionalFormatting sqref="G7:AL36">
    <cfRule type="expression" dxfId="8" priority="1">
      <formula>$G$4:$AL$4=""</formula>
    </cfRule>
  </conditionalFormatting>
  <dataValidations count="2">
    <dataValidation type="list" allowBlank="1" showInputMessage="1" showErrorMessage="1" sqref="C2" xr:uid="{6C3BBC48-0B52-4D51-BDCA-7CACCC7B119C}">
      <formula1>CN_Date</formula1>
    </dataValidation>
    <dataValidation type="list" allowBlank="1" showInputMessage="1" showErrorMessage="1" sqref="G6:AL36" xr:uid="{5779EBAB-E877-4B6E-AFDE-89233DCAEC25}">
      <formula1>Prod_BCSC</formula1>
    </dataValidation>
  </dataValidations>
  <pageMargins left="0.7" right="0.7" top="0.75" bottom="0.75" header="0.3" footer="0.3"/>
  <pageSetup paperSize="9" orientation="portrait" horizontalDpi="1200" verticalDpi="1200" r:id="rId1"/>
  <headerFooter>
    <oddFooter>&amp;C&amp;1#&amp;"Arial"&amp;10&amp;K000000Internal</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185CA-83BC-4959-980E-6F5DAB669E56}">
  <sheetPr codeName="Sheet12"/>
  <dimension ref="A1:BF53"/>
  <sheetViews>
    <sheetView zoomScale="80" zoomScaleNormal="80" workbookViewId="0">
      <pane xSplit="6" ySplit="5" topLeftCell="G6" activePane="bottomRight" state="frozen"/>
      <selection pane="topRight" activeCell="X3" sqref="X3:X5"/>
      <selection pane="bottomLeft" activeCell="X3" sqref="X3:X5"/>
      <selection pane="bottomRight" activeCell="D12" sqref="D12"/>
    </sheetView>
  </sheetViews>
  <sheetFormatPr defaultColWidth="9.109375" defaultRowHeight="14.4"/>
  <cols>
    <col min="1" max="1" width="7.109375" style="8" customWidth="1"/>
    <col min="2" max="2" width="15.44140625" style="8" customWidth="1"/>
    <col min="3" max="4" width="15.44140625" style="8" bestFit="1" customWidth="1"/>
    <col min="5" max="6" width="11.5546875" style="8" customWidth="1"/>
    <col min="7" max="38" width="8.5546875" style="8" customWidth="1"/>
    <col min="39" max="41" width="9.109375" style="8"/>
    <col min="42" max="44" width="9.109375" style="8" hidden="1" customWidth="1"/>
    <col min="45" max="45" width="9.109375" style="8"/>
    <col min="46" max="47" width="26.88671875" style="8" customWidth="1"/>
    <col min="48" max="55" width="13.5546875" style="8" customWidth="1"/>
    <col min="56" max="56" width="18.5546875" style="8" bestFit="1" customWidth="1"/>
    <col min="57" max="57" width="14.44140625" style="8" customWidth="1"/>
    <col min="58" max="58" width="16.5546875" style="8" bestFit="1" customWidth="1"/>
    <col min="59" max="16384" width="9.109375" style="8"/>
  </cols>
  <sheetData>
    <row r="1" spans="1:58" ht="18.600000000000001" thickBot="1">
      <c r="A1" s="83" t="s">
        <v>63</v>
      </c>
    </row>
    <row r="2" spans="1:58" ht="47.25" customHeight="1" thickBot="1">
      <c r="A2" s="198" t="s">
        <v>64</v>
      </c>
      <c r="B2" s="199"/>
      <c r="C2" s="102" t="s">
        <v>92</v>
      </c>
      <c r="D2" s="33" t="e">
        <f>EOMONTH(C2,0)</f>
        <v>#VALUE!</v>
      </c>
      <c r="G2" s="210" t="s">
        <v>133</v>
      </c>
      <c r="H2" s="211"/>
      <c r="I2" s="211"/>
      <c r="J2" s="211"/>
      <c r="K2" s="211"/>
      <c r="L2" s="211"/>
      <c r="M2" s="211"/>
      <c r="N2" s="211"/>
      <c r="O2" s="211"/>
      <c r="P2" s="211"/>
      <c r="Q2" s="211"/>
      <c r="R2" s="211"/>
      <c r="S2" s="211"/>
      <c r="T2" s="211"/>
      <c r="U2" s="211"/>
      <c r="V2" s="211"/>
      <c r="W2" s="211"/>
      <c r="X2" s="211"/>
      <c r="Y2" s="211"/>
      <c r="Z2" s="211"/>
      <c r="AA2" s="211"/>
      <c r="AB2" s="211"/>
      <c r="AC2" s="211"/>
      <c r="AD2" s="211"/>
      <c r="AE2" s="211"/>
      <c r="AF2" s="211"/>
      <c r="AG2" s="211"/>
      <c r="AH2" s="211"/>
      <c r="AI2" s="211"/>
      <c r="AJ2" s="211"/>
      <c r="AK2" s="211"/>
      <c r="AL2" s="212"/>
    </row>
    <row r="3" spans="1:58" ht="15" thickBot="1">
      <c r="F3" s="10"/>
      <c r="G3" s="34" t="s">
        <v>88</v>
      </c>
      <c r="H3" s="10"/>
      <c r="I3" s="10"/>
      <c r="J3" s="10"/>
      <c r="K3" s="10"/>
      <c r="L3" s="10"/>
      <c r="M3" s="10"/>
      <c r="N3" s="10"/>
      <c r="O3" s="10"/>
      <c r="P3" s="10"/>
      <c r="Q3" s="10"/>
      <c r="R3" s="10"/>
      <c r="S3" s="10"/>
      <c r="T3" s="10"/>
      <c r="U3" s="10"/>
      <c r="V3" s="10"/>
      <c r="W3" s="10"/>
      <c r="X3" s="10"/>
      <c r="Y3" s="10"/>
      <c r="Z3" s="10"/>
      <c r="AA3" s="10"/>
      <c r="AB3" s="10"/>
      <c r="AC3" s="10"/>
      <c r="AD3" s="10"/>
      <c r="AE3" s="10"/>
      <c r="AF3" s="10"/>
      <c r="AG3" s="10"/>
      <c r="AH3" s="10"/>
    </row>
    <row r="4" spans="1:58" ht="85.5" customHeight="1">
      <c r="A4" s="35" t="s">
        <v>67</v>
      </c>
      <c r="B4" s="36" t="s">
        <v>68</v>
      </c>
      <c r="C4" s="13" t="s">
        <v>69</v>
      </c>
      <c r="D4" s="13" t="s">
        <v>94</v>
      </c>
      <c r="E4" s="13" t="s">
        <v>71</v>
      </c>
      <c r="F4" s="37" t="s">
        <v>72</v>
      </c>
      <c r="G4" s="38" t="e">
        <f>IF($C$2+0&gt;$D$2+1,"",$C$2+0)</f>
        <v>#VALUE!</v>
      </c>
      <c r="H4" s="39" t="e">
        <f>IF($C$2+1&gt;$D$2+1,"",$C$2+1)</f>
        <v>#VALUE!</v>
      </c>
      <c r="I4" s="39" t="e">
        <f>IF($C$2+2&gt;$D$2+1,"",$C$2+2)</f>
        <v>#VALUE!</v>
      </c>
      <c r="J4" s="39" t="e">
        <f>IF($C$2+3&gt;$D$2+1,"",$C$2+3)</f>
        <v>#VALUE!</v>
      </c>
      <c r="K4" s="39" t="e">
        <f>IF($C$2+4&gt;$D$2+1,"",$C$2+4)</f>
        <v>#VALUE!</v>
      </c>
      <c r="L4" s="39" t="e">
        <f>IF($C$2+5&gt;$D$2+1,"",$C$2+5)</f>
        <v>#VALUE!</v>
      </c>
      <c r="M4" s="39" t="e">
        <f>IF($C$2+6&gt;$D$2+1,"",$C$2+6)</f>
        <v>#VALUE!</v>
      </c>
      <c r="N4" s="39" t="e">
        <f>IF($C$2+7&gt;$D$2+1,"",$C$2+7)</f>
        <v>#VALUE!</v>
      </c>
      <c r="O4" s="39" t="e">
        <f>IF($C$2+8&gt;$D$2+1,"",$C$2+8)</f>
        <v>#VALUE!</v>
      </c>
      <c r="P4" s="39" t="e">
        <f>IF($C$2+9&gt;$D$2+1,"",$C$2+9)</f>
        <v>#VALUE!</v>
      </c>
      <c r="Q4" s="39" t="e">
        <f>IF($C$2+10&gt;$D$2+1,"",$C$2+10)</f>
        <v>#VALUE!</v>
      </c>
      <c r="R4" s="39" t="e">
        <f>IF($C$2+11&gt;$D$2+1,"",$C$2+11)</f>
        <v>#VALUE!</v>
      </c>
      <c r="S4" s="39" t="e">
        <f>IF($C$2+12&gt;$D$2+1,"",$C$2+12)</f>
        <v>#VALUE!</v>
      </c>
      <c r="T4" s="39" t="e">
        <f>IF($C$2+13&gt;$D$2+1,"",$C$2+13)</f>
        <v>#VALUE!</v>
      </c>
      <c r="U4" s="39" t="e">
        <f>IF($C$2+14&gt;$D$2+1,"",$C$2+14)</f>
        <v>#VALUE!</v>
      </c>
      <c r="V4" s="39" t="e">
        <f>IF($C$2+15&gt;$D$2+1,"",$C$2+15)</f>
        <v>#VALUE!</v>
      </c>
      <c r="W4" s="39" t="e">
        <f>IF($C$2+16&gt;$D$2+1,"",$C$2+16)</f>
        <v>#VALUE!</v>
      </c>
      <c r="X4" s="39" t="e">
        <f>IF($C$2+17&gt;$D$2+1,"",$C$2+17)</f>
        <v>#VALUE!</v>
      </c>
      <c r="Y4" s="39" t="e">
        <f>IF($C$2+18&gt;$D$2+1,"",$C$2+18)</f>
        <v>#VALUE!</v>
      </c>
      <c r="Z4" s="39" t="e">
        <f>IF($C$2+19&gt;$D$2+1,"",$C$2+19)</f>
        <v>#VALUE!</v>
      </c>
      <c r="AA4" s="39" t="e">
        <f>IF($C$2+20&gt;$D$2+1,"",$C$2+20)</f>
        <v>#VALUE!</v>
      </c>
      <c r="AB4" s="39" t="e">
        <f>IF($C$2+21&gt;$D$2+1,"",$C$2+21)</f>
        <v>#VALUE!</v>
      </c>
      <c r="AC4" s="39" t="e">
        <f>IF($C$2+22&gt;$D$2+1,"",$C$2+22)</f>
        <v>#VALUE!</v>
      </c>
      <c r="AD4" s="39" t="e">
        <f>IF($C$2+23&gt;$D$2+1,"",$C$2+23)</f>
        <v>#VALUE!</v>
      </c>
      <c r="AE4" s="39" t="e">
        <f>IF($C$2+24&gt;$D$2+1,"",$C$2+24)</f>
        <v>#VALUE!</v>
      </c>
      <c r="AF4" s="39" t="e">
        <f>IF($C$2+25&gt;$D$2+1,"",$C$2+25)</f>
        <v>#VALUE!</v>
      </c>
      <c r="AG4" s="39" t="e">
        <f>IF($C$2+26&gt;$D$2+1,"",$C$2+26)</f>
        <v>#VALUE!</v>
      </c>
      <c r="AH4" s="39" t="e">
        <f>IF($C$2+27&gt;$D$2+1,"",$C$2+27)</f>
        <v>#VALUE!</v>
      </c>
      <c r="AI4" s="39" t="e">
        <f>IF($C$2+28&gt;$D$2+1,"",$C$2+28)</f>
        <v>#VALUE!</v>
      </c>
      <c r="AJ4" s="39" t="e">
        <f>IF($C$2+29&gt;$D$2+1,"",$C$2+29)</f>
        <v>#VALUE!</v>
      </c>
      <c r="AK4" s="39" t="e">
        <f>IF($C$2+30&gt;$D$2+1,"",$C$2+30)</f>
        <v>#VALUE!</v>
      </c>
      <c r="AL4" s="40" t="e">
        <f>IF($C$2+31&gt;$D$2+1,"",$C$2+31)</f>
        <v>#VALUE!</v>
      </c>
      <c r="AM4" s="12" t="s">
        <v>95</v>
      </c>
      <c r="AN4" s="13" t="s">
        <v>96</v>
      </c>
      <c r="AO4" s="13" t="s">
        <v>97</v>
      </c>
      <c r="AP4" s="13"/>
      <c r="AQ4" s="13"/>
      <c r="AR4" s="13"/>
      <c r="AS4" s="13" t="s">
        <v>98</v>
      </c>
      <c r="AT4" s="13" t="s">
        <v>99</v>
      </c>
      <c r="AU4" s="13" t="s">
        <v>100</v>
      </c>
      <c r="AV4" s="13" t="s">
        <v>101</v>
      </c>
      <c r="AW4" s="13" t="s">
        <v>102</v>
      </c>
      <c r="AX4" s="13" t="s">
        <v>103</v>
      </c>
      <c r="AY4" s="13" t="s">
        <v>104</v>
      </c>
      <c r="AZ4" s="13" t="s">
        <v>105</v>
      </c>
      <c r="BA4" s="13" t="s">
        <v>106</v>
      </c>
      <c r="BB4" s="13" t="s">
        <v>107</v>
      </c>
      <c r="BC4" s="13" t="s">
        <v>75</v>
      </c>
      <c r="BD4" s="13" t="s">
        <v>78</v>
      </c>
      <c r="BE4" s="13" t="s">
        <v>108</v>
      </c>
      <c r="BF4" s="112" t="s">
        <v>109</v>
      </c>
    </row>
    <row r="5" spans="1:58" ht="15" thickBot="1">
      <c r="A5" s="41"/>
      <c r="B5" s="42"/>
      <c r="C5" s="43"/>
      <c r="D5" s="43"/>
      <c r="E5" s="43"/>
      <c r="F5" s="44"/>
      <c r="G5" s="45" t="str">
        <f>IFERROR(HLOOKUP(G4,Reference!1:2,2,0),"")</f>
        <v/>
      </c>
      <c r="H5" s="46" t="str">
        <f>IFERROR(HLOOKUP(H4,Reference!1:2,2,0),"")</f>
        <v/>
      </c>
      <c r="I5" s="46" t="str">
        <f>IFERROR(HLOOKUP(I4,Reference!1:2,2,0),"")</f>
        <v/>
      </c>
      <c r="J5" s="46" t="str">
        <f>IFERROR(HLOOKUP(J4,Reference!1:2,2,0),"")</f>
        <v/>
      </c>
      <c r="K5" s="46" t="str">
        <f>IFERROR(HLOOKUP(K4,Reference!1:2,2,0),"")</f>
        <v/>
      </c>
      <c r="L5" s="46" t="str">
        <f>IFERROR(HLOOKUP(L4,Reference!1:2,2,0),"")</f>
        <v/>
      </c>
      <c r="M5" s="46" t="str">
        <f>IFERROR(HLOOKUP(M4,Reference!1:2,2,0),"")</f>
        <v/>
      </c>
      <c r="N5" s="46" t="str">
        <f>IFERROR(HLOOKUP(N4,Reference!1:2,2,0),"")</f>
        <v/>
      </c>
      <c r="O5" s="46" t="str">
        <f>IFERROR(HLOOKUP(O4,Reference!1:2,2,0),"")</f>
        <v/>
      </c>
      <c r="P5" s="46" t="str">
        <f>IFERROR(HLOOKUP(P4,Reference!1:2,2,0),"")</f>
        <v/>
      </c>
      <c r="Q5" s="46" t="str">
        <f>IFERROR(HLOOKUP(Q4,Reference!1:2,2,0),"")</f>
        <v/>
      </c>
      <c r="R5" s="46" t="str">
        <f>IFERROR(HLOOKUP(R4,Reference!1:2,2,0),"")</f>
        <v/>
      </c>
      <c r="S5" s="46" t="str">
        <f>IFERROR(HLOOKUP(S4,Reference!1:2,2,0),"")</f>
        <v/>
      </c>
      <c r="T5" s="46" t="str">
        <f>IFERROR(HLOOKUP(T4,Reference!1:2,2,0),"")</f>
        <v/>
      </c>
      <c r="U5" s="46" t="str">
        <f>IFERROR(HLOOKUP(U4,Reference!1:2,2,0),"")</f>
        <v/>
      </c>
      <c r="V5" s="46" t="str">
        <f>IFERROR(HLOOKUP(V4,Reference!1:2,2,0),"")</f>
        <v/>
      </c>
      <c r="W5" s="46" t="str">
        <f>IFERROR(HLOOKUP(W4,Reference!1:2,2,0),"")</f>
        <v/>
      </c>
      <c r="X5" s="46" t="str">
        <f>IFERROR(HLOOKUP(X4,Reference!1:2,2,0),"")</f>
        <v/>
      </c>
      <c r="Y5" s="46" t="str">
        <f>IFERROR(HLOOKUP(Y4,Reference!1:2,2,0),"")</f>
        <v/>
      </c>
      <c r="Z5" s="46" t="str">
        <f>IFERROR(HLOOKUP(Z4,Reference!1:2,2,0),"")</f>
        <v/>
      </c>
      <c r="AA5" s="46" t="str">
        <f>IFERROR(HLOOKUP(AA4,Reference!1:2,2,0),"")</f>
        <v/>
      </c>
      <c r="AB5" s="46" t="str">
        <f>IFERROR(HLOOKUP(AB4,Reference!1:2,2,0),"")</f>
        <v/>
      </c>
      <c r="AC5" s="46" t="str">
        <f>IFERROR(HLOOKUP(AC4,Reference!1:2,2,0),"")</f>
        <v/>
      </c>
      <c r="AD5" s="46" t="str">
        <f>IFERROR(HLOOKUP(AD4,Reference!1:2,2,0),"")</f>
        <v/>
      </c>
      <c r="AE5" s="46" t="str">
        <f>IFERROR(HLOOKUP(AE4,Reference!1:2,2,0),"")</f>
        <v/>
      </c>
      <c r="AF5" s="46" t="str">
        <f>IFERROR(HLOOKUP(AF4,Reference!1:2,2,0),"")</f>
        <v/>
      </c>
      <c r="AG5" s="46" t="str">
        <f>IFERROR(HLOOKUP(AG4,Reference!1:2,2,0),"")</f>
        <v/>
      </c>
      <c r="AH5" s="46" t="str">
        <f>IFERROR(HLOOKUP(AH4,Reference!1:2,2,0),"")</f>
        <v/>
      </c>
      <c r="AI5" s="46" t="str">
        <f>IFERROR(HLOOKUP(AI4,Reference!1:2,2,0),"")</f>
        <v/>
      </c>
      <c r="AJ5" s="46" t="str">
        <f>IFERROR(HLOOKUP(AJ4,Reference!1:2,2,0),"")</f>
        <v/>
      </c>
      <c r="AK5" s="46" t="str">
        <f>IFERROR(HLOOKUP(AK4,Reference!1:2,2,0),"")</f>
        <v/>
      </c>
      <c r="AL5" s="47" t="str">
        <f>IFERROR(HLOOKUP(AL4,Reference!1:2,2,0),"")</f>
        <v/>
      </c>
      <c r="AM5" s="48"/>
      <c r="AN5" s="43"/>
      <c r="AO5" s="43"/>
      <c r="AP5" s="43"/>
      <c r="AQ5" s="43"/>
      <c r="AR5" s="43"/>
      <c r="AS5" s="43"/>
      <c r="AT5" s="43"/>
      <c r="AU5" s="43"/>
      <c r="AV5" s="43"/>
      <c r="AW5" s="43"/>
      <c r="AX5" s="43"/>
      <c r="AY5" s="43"/>
      <c r="AZ5" s="43"/>
      <c r="BA5" s="43"/>
      <c r="BB5" s="43"/>
      <c r="BC5" s="43"/>
      <c r="BD5" s="49"/>
      <c r="BE5" s="43"/>
      <c r="BF5" s="113"/>
    </row>
    <row r="6" spans="1:58" ht="15" thickBot="1">
      <c r="A6" s="50">
        <v>0</v>
      </c>
      <c r="B6" s="51">
        <v>12345</v>
      </c>
      <c r="C6" s="110" t="s">
        <v>89</v>
      </c>
      <c r="D6" s="52">
        <v>105</v>
      </c>
      <c r="E6" s="110"/>
      <c r="F6" s="53"/>
      <c r="G6" s="54" t="s">
        <v>110</v>
      </c>
      <c r="H6" s="52" t="s">
        <v>110</v>
      </c>
      <c r="I6" s="52"/>
      <c r="J6" s="52" t="s">
        <v>111</v>
      </c>
      <c r="K6" s="52" t="s">
        <v>112</v>
      </c>
      <c r="L6" s="52" t="s">
        <v>110</v>
      </c>
      <c r="M6" s="52"/>
      <c r="N6" s="52"/>
      <c r="O6" s="52" t="s">
        <v>110</v>
      </c>
      <c r="P6" s="52" t="s">
        <v>110</v>
      </c>
      <c r="Q6" s="52"/>
      <c r="R6" s="52"/>
      <c r="S6" s="52" t="s">
        <v>110</v>
      </c>
      <c r="T6" s="52" t="s">
        <v>110</v>
      </c>
      <c r="U6" s="52"/>
      <c r="V6" s="52"/>
      <c r="W6" s="52" t="s">
        <v>110</v>
      </c>
      <c r="X6" s="52" t="s">
        <v>110</v>
      </c>
      <c r="Y6" s="52" t="s">
        <v>110</v>
      </c>
      <c r="Z6" s="52"/>
      <c r="AA6" s="52" t="s">
        <v>110</v>
      </c>
      <c r="AB6" s="52" t="s">
        <v>110</v>
      </c>
      <c r="AC6" s="52"/>
      <c r="AD6" s="52" t="s">
        <v>111</v>
      </c>
      <c r="AE6" s="52" t="s">
        <v>111</v>
      </c>
      <c r="AF6" s="52" t="s">
        <v>111</v>
      </c>
      <c r="AG6" s="52"/>
      <c r="AH6" s="52"/>
      <c r="AI6" s="52"/>
      <c r="AJ6" s="52"/>
      <c r="AK6" s="52"/>
      <c r="AL6" s="55"/>
      <c r="AM6" s="56">
        <f t="shared" ref="AM6" si="0">COUNTIFS(G6:AK6,"日",$G$4:$AK$4,"&lt;="&amp;$D$2)*12</f>
        <v>48</v>
      </c>
      <c r="AN6" s="57">
        <f t="shared" ref="AN6" si="1">COUNTIFS(G6:AK6,"夜",$G$4:$AK$4,"&lt;="&amp;$D$2)*12</f>
        <v>144</v>
      </c>
      <c r="AO6" s="57">
        <f t="shared" ref="AO6" si="2">COUNTIFS(G6:AK6,"常",$G$4:$AK$4,"&lt;="&amp;$D$2)*8</f>
        <v>8</v>
      </c>
      <c r="AP6" s="61"/>
      <c r="AQ6" s="61"/>
      <c r="AR6" s="61"/>
      <c r="AS6" s="57" t="e">
        <f t="shared" ref="AS6" si="3">COUNTIFS(G6:AK6,"日",$G$4:$AK$4,"&lt;="&amp;$D$2,$G$5:$AK$5,"PH")*12+COUNTIFS(G6:AK6,"常",$G$4:$AK$4,"&lt;="&amp;$D$2,$G$5:$AK$5,"PH")*8+COUNTIFS(G6:AK6,"夜",$G$4:$AK$4,"&lt;="&amp;$D$2,$G$5:$AK$5,"PH")*3.5+
IF(AND(G6="夜",$H$5="PH",$G$4&lt;=$D$2),8.5,0)+IF(AND(H6="夜",$I$5="PH",$H$4&lt;=$D$2),8.5,0)+IF(AND(I6="夜",$J$5="PH",$I$4&lt;=$D$2),8.5,0)+IF(AND(J6="夜",$K$5="PH",$J$4&lt;=$D$2),8.5,0)+IF(AND(K6="夜",$L$5="PH",$K$4&lt;=$D$2),8.5,0)+IF(AND(L6="夜",$M$5="PH",$L$4&lt;=$D$2),8.5,0)+IF(AND(M6="夜",$N$5="PH",$M$4&lt;=$D$2),8.5,0)+IF(AND(N6="夜",$O$5="PH",$N$4&lt;=$D$2),8.5,0)+IF(AND(O6="夜",$P$5="PH",$O$4&lt;=$D$2),8.5,0)+IF(AND(P6="夜",$Q$5="PH",$P$4&lt;=$D$2),8.5,0)+IF(AND(Q6="夜",$R$5="PH",$Q$4&lt;=$D$2),8.5,0)+IF(AND(R6="夜",$S$5="PH",$R$4&lt;=$D$2),8.5,0)+IF(AND(S6="夜",$T$5="PH",$S$4&lt;=$D$2),8.5,0)+IF(AND(T6="夜",$U$5="PH",$T$4&lt;=$D$2),8.5,0)+IF(AND(U6="夜",$V$5="PH",$U$4&lt;=$D$2),8.5,0)+IF(AND(V6="夜",$W$5="PH",$V$4&lt;=$D$2),8.5,0)+IF(AND(W6="夜",$X$5="PH",$W$4&lt;=$D$2),8.5,0)+IF(AND(X6="夜",$Y$5="PH",$X$4&lt;=$D$2),8.5,0)+IF(AND(Y6="夜",$Z$5="PH",$Y$4&lt;=$D$2),8.5,0)+IF(AND(Z6="夜",$AA$5="PH",$Z$4&lt;=$D$2),8.5,0)+IF(AND(AA6="夜",$AB$5="PH",$AA$4&lt;=$D$2),8.5,0)+IF(AND(AB6="夜",$AC$5="PH",$AB$4&lt;=$D$2),8.5,0)+IF(AND(AC6="夜",$AD$5="PH",$AC$4&lt;=$D$2),8.5,0)+IF(AND(AD6="夜",$AE$5="PH",$AD$4&lt;=$D$2),8.5,0)+IF(AND(AE6="夜",$AF$5="PH",$AE$4&lt;=$D$2),8.5,0)+IF(AND(AF6="夜",$AG$5="PH",$AF$4&lt;=$D$2),8.5,0)+IF(AND(AG6="夜",$AH$5="PH",$AG$4&lt;=$D$2),8.5,0)+IF(AND(AH6="夜",$AI$5="PH",$AH$4&lt;=$D$2),8.5,0)+IF(AND(AI6="夜",$AJ$5="PH",$AI$4&lt;=$D$2),8.5,0)+IF(AND(AJ6="夜",$AK$5="PH",$AJ$4&lt;=$D$2),8.5,0)+IF(AND(AK6="夜",$AL$5="PH",$AK$4&lt;=$D$2),8.5,0)</f>
        <v>#VALUE!</v>
      </c>
      <c r="AT6" s="52"/>
      <c r="AU6" s="52"/>
      <c r="AV6" s="57" t="e">
        <f>SUM(AM6:AO6)-AS6+AT6</f>
        <v>#VALUE!</v>
      </c>
      <c r="AW6" s="57" t="e">
        <f t="shared" ref="AW6" si="4">AV6/8</f>
        <v>#VALUE!</v>
      </c>
      <c r="AX6" s="57" t="e">
        <f t="shared" ref="AX6:AX36" si="5">NETWORKDAYS($C$2,$D$2)</f>
        <v>#VALUE!</v>
      </c>
      <c r="AY6" s="57" t="e">
        <f t="shared" ref="AY6" si="6">ROUND(IF(AW6&gt;=AX6,AX6,AW6)*D6,2)</f>
        <v>#VALUE!</v>
      </c>
      <c r="AZ6" s="57" t="e">
        <f t="shared" ref="AZ6" si="7">ROUND(IF((AW6-AX6)*1.5*D6&lt;0,0,(AW6-AX6)*1.5*D6),2)</f>
        <v>#VALUE!</v>
      </c>
      <c r="BA6" s="57" t="e">
        <f t="shared" ref="BA6" si="8">ROUND(D6/8*(AS6+AU6)*3,2)</f>
        <v>#VALUE!</v>
      </c>
      <c r="BB6" s="57">
        <f t="shared" ref="BB6" si="9">COUNTIFS(G6:AK6,"日",$G$4:$AK$4,"&lt;="&amp;$D$2)*50+COUNTIFS(G6:AK6,"夜",$G$4:$AK$4,"&lt;="&amp;$D$2)*50</f>
        <v>800</v>
      </c>
      <c r="BC6" s="52">
        <v>500</v>
      </c>
      <c r="BD6" s="58" t="e">
        <f t="shared" ref="BD6" si="10">SUM(AY6:BC6)</f>
        <v>#VALUE!</v>
      </c>
      <c r="BE6" s="52"/>
      <c r="BF6" s="114" t="s">
        <v>61</v>
      </c>
    </row>
    <row r="7" spans="1:58" ht="15" thickBot="1">
      <c r="A7" s="59">
        <v>1</v>
      </c>
      <c r="B7" s="103"/>
      <c r="C7" s="104"/>
      <c r="D7" s="105"/>
      <c r="E7" s="104"/>
      <c r="F7" s="106"/>
      <c r="G7" s="107"/>
      <c r="H7" s="105"/>
      <c r="I7" s="105"/>
      <c r="J7" s="105"/>
      <c r="K7" s="105"/>
      <c r="L7" s="105"/>
      <c r="M7" s="105"/>
      <c r="N7" s="105"/>
      <c r="O7" s="105"/>
      <c r="P7" s="105"/>
      <c r="Q7" s="105"/>
      <c r="R7" s="105"/>
      <c r="S7" s="105"/>
      <c r="T7" s="105"/>
      <c r="U7" s="105"/>
      <c r="V7" s="105"/>
      <c r="W7" s="105"/>
      <c r="X7" s="105"/>
      <c r="Y7" s="105"/>
      <c r="Z7" s="105"/>
      <c r="AA7" s="105"/>
      <c r="AB7" s="105"/>
      <c r="AC7" s="105"/>
      <c r="AD7" s="105"/>
      <c r="AE7" s="105"/>
      <c r="AF7" s="105"/>
      <c r="AG7" s="105"/>
      <c r="AH7" s="105"/>
      <c r="AI7" s="105"/>
      <c r="AJ7" s="105"/>
      <c r="AK7" s="105"/>
      <c r="AL7" s="97"/>
      <c r="AM7" s="60">
        <f t="shared" ref="AM7:AM21" si="11">COUNTIFS(G7:AK7,"日",$G$4:$AK$4,"&lt;="&amp;$D$2)*12</f>
        <v>0</v>
      </c>
      <c r="AN7" s="61">
        <f t="shared" ref="AN7:AN21" si="12">COUNTIFS(G7:AK7,"夜",$G$4:$AK$4,"&lt;="&amp;$D$2)*12</f>
        <v>0</v>
      </c>
      <c r="AO7" s="61">
        <f t="shared" ref="AO7:AO21" si="13">COUNTIFS(G7:AK7,"常",$G$4:$AK$4,"&lt;="&amp;$D$2)*8</f>
        <v>0</v>
      </c>
      <c r="AP7" s="61"/>
      <c r="AQ7" s="61"/>
      <c r="AR7" s="61"/>
      <c r="AS7" s="61" t="e">
        <f t="shared" ref="AS7:AS21" si="14">COUNTIFS(G7:AK7,"日",$G$4:$AK$4,"&lt;="&amp;$D$2,$G$5:$AK$5,"PH")*12+COUNTIFS(G7:AK7,"常",$G$4:$AK$4,"&lt;="&amp;$D$2,$G$5:$AK$5,"PH")*8+COUNTIFS(G7:AK7,"夜",$G$4:$AK$4,"&lt;="&amp;$D$2,$G$5:$AK$5,"PH")*3.5+
IF(AND(G7="夜",$H$5="PH",$G$4&lt;=$D$2),8.5,0)+IF(AND(H7="夜",$I$5="PH",$H$4&lt;=$D$2),8.5,0)+IF(AND(I7="夜",$J$5="PH",$I$4&lt;=$D$2),8.5,0)+IF(AND(J7="夜",$K$5="PH",$J$4&lt;=$D$2),8.5,0)+IF(AND(K7="夜",$L$5="PH",$K$4&lt;=$D$2),8.5,0)+IF(AND(L7="夜",$M$5="PH",$L$4&lt;=$D$2),8.5,0)+IF(AND(M7="夜",$N$5="PH",$M$4&lt;=$D$2),8.5,0)+IF(AND(N7="夜",$O$5="PH",$N$4&lt;=$D$2),8.5,0)+IF(AND(O7="夜",$P$5="PH",$O$4&lt;=$D$2),8.5,0)+IF(AND(P7="夜",$Q$5="PH",$P$4&lt;=$D$2),8.5,0)+IF(AND(Q7="夜",$R$5="PH",$Q$4&lt;=$D$2),8.5,0)+IF(AND(R7="夜",$S$5="PH",$R$4&lt;=$D$2),8.5,0)+IF(AND(S7="夜",$T$5="PH",$S$4&lt;=$D$2),8.5,0)+IF(AND(T7="夜",$U$5="PH",$T$4&lt;=$D$2),8.5,0)+IF(AND(U7="夜",$V$5="PH",$U$4&lt;=$D$2),8.5,0)+IF(AND(V7="夜",$W$5="PH",$V$4&lt;=$D$2),8.5,0)+IF(AND(W7="夜",$X$5="PH",$W$4&lt;=$D$2),8.5,0)+IF(AND(X7="夜",$Y$5="PH",$X$4&lt;=$D$2),8.5,0)+IF(AND(Y7="夜",$Z$5="PH",$Y$4&lt;=$D$2),8.5,0)+IF(AND(Z7="夜",$AA$5="PH",$Z$4&lt;=$D$2),8.5,0)+IF(AND(AA7="夜",$AB$5="PH",$AA$4&lt;=$D$2),8.5,0)+IF(AND(AB7="夜",$AC$5="PH",$AB$4&lt;=$D$2),8.5,0)+IF(AND(AC7="夜",$AD$5="PH",$AC$4&lt;=$D$2),8.5,0)+IF(AND(AD7="夜",$AE$5="PH",$AD$4&lt;=$D$2),8.5,0)+IF(AND(AE7="夜",$AF$5="PH",$AE$4&lt;=$D$2),8.5,0)+IF(AND(AF7="夜",$AG$5="PH",$AF$4&lt;=$D$2),8.5,0)+IF(AND(AG7="夜",$AH$5="PH",$AG$4&lt;=$D$2),8.5,0)+IF(AND(AH7="夜",$AI$5="PH",$AH$4&lt;=$D$2),8.5,0)+IF(AND(AI7="夜",$AJ$5="PH",$AI$4&lt;=$D$2),8.5,0)+IF(AND(AJ7="夜",$AK$5="PH",$AJ$4&lt;=$D$2),8.5,0)+IF(AND(AK7="夜",$AL$5="PH",$AK$4&lt;=$D$2),8.5,0)</f>
        <v>#VALUE!</v>
      </c>
      <c r="AT7" s="105"/>
      <c r="AU7" s="105"/>
      <c r="AV7" s="61" t="e">
        <f t="shared" ref="AV7:AV8" si="15">SUM(AM7:AO7)-AS7+AT7</f>
        <v>#VALUE!</v>
      </c>
      <c r="AW7" s="61" t="e">
        <f t="shared" ref="AW7:AW21" si="16">AV7/8</f>
        <v>#VALUE!</v>
      </c>
      <c r="AX7" s="61" t="e">
        <f t="shared" si="5"/>
        <v>#VALUE!</v>
      </c>
      <c r="AY7" s="61" t="e">
        <f t="shared" ref="AY7:AY21" si="17">ROUND(IF(AW7&gt;=AX7,AX7,AW7)*D7,2)</f>
        <v>#VALUE!</v>
      </c>
      <c r="AZ7" s="61" t="e">
        <f t="shared" ref="AZ7:AZ21" si="18">ROUND(IF((AW7-AX7)*1.5*D7&lt;0,0,(AW7-AX7)*1.5*D7),2)</f>
        <v>#VALUE!</v>
      </c>
      <c r="BA7" s="61" t="e">
        <f t="shared" ref="BA7:BA21" si="19">ROUND(D7/8*(AS7+AU7)*3,2)</f>
        <v>#VALUE!</v>
      </c>
      <c r="BB7" s="61">
        <f t="shared" ref="BB7:BB21" si="20">COUNTIFS(G7:AK7,"日",$G$4:$AK$4,"&lt;="&amp;$D$2)*50+COUNTIFS(G7:AK7,"夜",$G$4:$AK$4,"&lt;="&amp;$D$2)*50</f>
        <v>0</v>
      </c>
      <c r="BC7" s="105"/>
      <c r="BD7" s="62" t="e">
        <f t="shared" ref="BD7:BD21" si="21">SUM(AY7:BC7)</f>
        <v>#VALUE!</v>
      </c>
      <c r="BE7" s="105"/>
      <c r="BF7" s="114" t="s">
        <v>61</v>
      </c>
    </row>
    <row r="8" spans="1:58" ht="15" thickBot="1">
      <c r="A8" s="59">
        <v>2</v>
      </c>
      <c r="B8" s="103"/>
      <c r="C8" s="104"/>
      <c r="D8" s="105"/>
      <c r="E8" s="104"/>
      <c r="F8" s="106"/>
      <c r="G8" s="107"/>
      <c r="H8" s="105"/>
      <c r="I8" s="105"/>
      <c r="J8" s="105"/>
      <c r="K8" s="105"/>
      <c r="L8" s="105"/>
      <c r="M8" s="105"/>
      <c r="N8" s="105"/>
      <c r="O8" s="105"/>
      <c r="P8" s="105"/>
      <c r="Q8" s="105"/>
      <c r="R8" s="105"/>
      <c r="S8" s="105"/>
      <c r="T8" s="105"/>
      <c r="U8" s="105"/>
      <c r="V8" s="105"/>
      <c r="W8" s="105"/>
      <c r="X8" s="105"/>
      <c r="Y8" s="105"/>
      <c r="Z8" s="105"/>
      <c r="AA8" s="105"/>
      <c r="AB8" s="105"/>
      <c r="AC8" s="105"/>
      <c r="AD8" s="105"/>
      <c r="AE8" s="105"/>
      <c r="AF8" s="105"/>
      <c r="AG8" s="105"/>
      <c r="AH8" s="105"/>
      <c r="AI8" s="105"/>
      <c r="AJ8" s="105"/>
      <c r="AK8" s="105"/>
      <c r="AL8" s="97"/>
      <c r="AM8" s="60">
        <f t="shared" si="11"/>
        <v>0</v>
      </c>
      <c r="AN8" s="61">
        <f t="shared" si="12"/>
        <v>0</v>
      </c>
      <c r="AO8" s="61">
        <f t="shared" si="13"/>
        <v>0</v>
      </c>
      <c r="AP8" s="61"/>
      <c r="AQ8" s="61"/>
      <c r="AR8" s="61"/>
      <c r="AS8" s="61" t="e">
        <f t="shared" si="14"/>
        <v>#VALUE!</v>
      </c>
      <c r="AT8" s="105"/>
      <c r="AU8" s="105"/>
      <c r="AV8" s="61" t="e">
        <f t="shared" si="15"/>
        <v>#VALUE!</v>
      </c>
      <c r="AW8" s="61" t="e">
        <f t="shared" si="16"/>
        <v>#VALUE!</v>
      </c>
      <c r="AX8" s="61" t="e">
        <f t="shared" si="5"/>
        <v>#VALUE!</v>
      </c>
      <c r="AY8" s="61" t="e">
        <f t="shared" si="17"/>
        <v>#VALUE!</v>
      </c>
      <c r="AZ8" s="61" t="e">
        <f t="shared" si="18"/>
        <v>#VALUE!</v>
      </c>
      <c r="BA8" s="61" t="e">
        <f t="shared" si="19"/>
        <v>#VALUE!</v>
      </c>
      <c r="BB8" s="61">
        <f t="shared" si="20"/>
        <v>0</v>
      </c>
      <c r="BC8" s="105"/>
      <c r="BD8" s="62" t="e">
        <f t="shared" si="21"/>
        <v>#VALUE!</v>
      </c>
      <c r="BE8" s="105"/>
      <c r="BF8" s="114" t="s">
        <v>61</v>
      </c>
    </row>
    <row r="9" spans="1:58" ht="15" thickBot="1">
      <c r="A9" s="59">
        <v>3</v>
      </c>
      <c r="B9" s="103"/>
      <c r="C9" s="104"/>
      <c r="D9" s="105"/>
      <c r="E9" s="104"/>
      <c r="F9" s="106"/>
      <c r="G9" s="107"/>
      <c r="H9" s="105"/>
      <c r="I9" s="105"/>
      <c r="J9" s="105"/>
      <c r="K9" s="105"/>
      <c r="L9" s="105"/>
      <c r="M9" s="105"/>
      <c r="N9" s="105"/>
      <c r="O9" s="105"/>
      <c r="P9" s="105"/>
      <c r="Q9" s="105"/>
      <c r="R9" s="105"/>
      <c r="S9" s="105"/>
      <c r="T9" s="105"/>
      <c r="U9" s="105"/>
      <c r="V9" s="105"/>
      <c r="W9" s="105"/>
      <c r="X9" s="105"/>
      <c r="Y9" s="105"/>
      <c r="Z9" s="105"/>
      <c r="AA9" s="105"/>
      <c r="AB9" s="105"/>
      <c r="AC9" s="105"/>
      <c r="AD9" s="105"/>
      <c r="AE9" s="105"/>
      <c r="AF9" s="105"/>
      <c r="AG9" s="105"/>
      <c r="AH9" s="105"/>
      <c r="AI9" s="105"/>
      <c r="AJ9" s="105"/>
      <c r="AK9" s="105"/>
      <c r="AL9" s="97"/>
      <c r="AM9" s="60">
        <f t="shared" si="11"/>
        <v>0</v>
      </c>
      <c r="AN9" s="61">
        <f t="shared" si="12"/>
        <v>0</v>
      </c>
      <c r="AO9" s="61">
        <f t="shared" si="13"/>
        <v>0</v>
      </c>
      <c r="AP9" s="61"/>
      <c r="AQ9" s="61"/>
      <c r="AR9" s="61"/>
      <c r="AS9" s="61" t="e">
        <f t="shared" si="14"/>
        <v>#VALUE!</v>
      </c>
      <c r="AT9" s="105"/>
      <c r="AU9" s="105"/>
      <c r="AV9" s="61" t="e">
        <f>SUM(AM9:AO9)-AS9+AT9</f>
        <v>#VALUE!</v>
      </c>
      <c r="AW9" s="61" t="e">
        <f t="shared" si="16"/>
        <v>#VALUE!</v>
      </c>
      <c r="AX9" s="61" t="e">
        <f t="shared" si="5"/>
        <v>#VALUE!</v>
      </c>
      <c r="AY9" s="61" t="e">
        <f t="shared" si="17"/>
        <v>#VALUE!</v>
      </c>
      <c r="AZ9" s="61" t="e">
        <f t="shared" si="18"/>
        <v>#VALUE!</v>
      </c>
      <c r="BA9" s="61" t="e">
        <f t="shared" si="19"/>
        <v>#VALUE!</v>
      </c>
      <c r="BB9" s="61">
        <f t="shared" si="20"/>
        <v>0</v>
      </c>
      <c r="BC9" s="105"/>
      <c r="BD9" s="62" t="e">
        <f t="shared" si="21"/>
        <v>#VALUE!</v>
      </c>
      <c r="BE9" s="105"/>
      <c r="BF9" s="114" t="s">
        <v>61</v>
      </c>
    </row>
    <row r="10" spans="1:58" ht="15" thickBot="1">
      <c r="A10" s="59">
        <v>4</v>
      </c>
      <c r="B10" s="103"/>
      <c r="C10" s="104"/>
      <c r="D10" s="105"/>
      <c r="E10" s="104"/>
      <c r="F10" s="106"/>
      <c r="G10" s="107"/>
      <c r="H10" s="105"/>
      <c r="I10" s="105"/>
      <c r="J10" s="105"/>
      <c r="K10" s="105"/>
      <c r="L10" s="105"/>
      <c r="M10" s="105"/>
      <c r="N10" s="105"/>
      <c r="O10" s="105"/>
      <c r="P10" s="105"/>
      <c r="Q10" s="105"/>
      <c r="R10" s="105"/>
      <c r="S10" s="105"/>
      <c r="T10" s="105"/>
      <c r="U10" s="105"/>
      <c r="V10" s="105"/>
      <c r="W10" s="105"/>
      <c r="X10" s="105"/>
      <c r="Y10" s="105"/>
      <c r="Z10" s="105"/>
      <c r="AA10" s="105"/>
      <c r="AB10" s="105"/>
      <c r="AC10" s="105"/>
      <c r="AD10" s="105"/>
      <c r="AE10" s="105"/>
      <c r="AF10" s="105"/>
      <c r="AG10" s="105"/>
      <c r="AH10" s="105"/>
      <c r="AI10" s="105"/>
      <c r="AJ10" s="105"/>
      <c r="AK10" s="105"/>
      <c r="AL10" s="97"/>
      <c r="AM10" s="60">
        <f t="shared" si="11"/>
        <v>0</v>
      </c>
      <c r="AN10" s="61">
        <f t="shared" si="12"/>
        <v>0</v>
      </c>
      <c r="AO10" s="61">
        <f t="shared" si="13"/>
        <v>0</v>
      </c>
      <c r="AP10" s="61"/>
      <c r="AQ10" s="61"/>
      <c r="AR10" s="61"/>
      <c r="AS10" s="61" t="e">
        <f t="shared" si="14"/>
        <v>#VALUE!</v>
      </c>
      <c r="AT10" s="105"/>
      <c r="AU10" s="105"/>
      <c r="AV10" s="61" t="e">
        <f t="shared" ref="AV10:AV11" si="22">SUM(AM10:AO10)-AS10+AT10</f>
        <v>#VALUE!</v>
      </c>
      <c r="AW10" s="61" t="e">
        <f t="shared" si="16"/>
        <v>#VALUE!</v>
      </c>
      <c r="AX10" s="61" t="e">
        <f t="shared" si="5"/>
        <v>#VALUE!</v>
      </c>
      <c r="AY10" s="61" t="e">
        <f t="shared" si="17"/>
        <v>#VALUE!</v>
      </c>
      <c r="AZ10" s="61" t="e">
        <f t="shared" si="18"/>
        <v>#VALUE!</v>
      </c>
      <c r="BA10" s="61" t="e">
        <f t="shared" si="19"/>
        <v>#VALUE!</v>
      </c>
      <c r="BB10" s="61">
        <f t="shared" si="20"/>
        <v>0</v>
      </c>
      <c r="BC10" s="105"/>
      <c r="BD10" s="62" t="e">
        <f t="shared" si="21"/>
        <v>#VALUE!</v>
      </c>
      <c r="BE10" s="105"/>
      <c r="BF10" s="114" t="s">
        <v>61</v>
      </c>
    </row>
    <row r="11" spans="1:58" ht="15" thickBot="1">
      <c r="A11" s="59">
        <v>5</v>
      </c>
      <c r="B11" s="103"/>
      <c r="C11" s="104"/>
      <c r="D11" s="105"/>
      <c r="E11" s="104"/>
      <c r="F11" s="106"/>
      <c r="G11" s="107"/>
      <c r="H11" s="105"/>
      <c r="I11" s="105"/>
      <c r="J11" s="105"/>
      <c r="K11" s="105"/>
      <c r="L11" s="105"/>
      <c r="M11" s="105"/>
      <c r="N11" s="105"/>
      <c r="O11" s="105"/>
      <c r="P11" s="105"/>
      <c r="Q11" s="105"/>
      <c r="R11" s="105"/>
      <c r="S11" s="105"/>
      <c r="T11" s="105"/>
      <c r="U11" s="105"/>
      <c r="V11" s="105"/>
      <c r="W11" s="105"/>
      <c r="X11" s="105"/>
      <c r="Y11" s="105"/>
      <c r="Z11" s="105"/>
      <c r="AA11" s="105"/>
      <c r="AB11" s="105"/>
      <c r="AC11" s="105"/>
      <c r="AD11" s="105"/>
      <c r="AE11" s="105"/>
      <c r="AF11" s="105"/>
      <c r="AG11" s="105"/>
      <c r="AH11" s="105"/>
      <c r="AI11" s="105"/>
      <c r="AJ11" s="105"/>
      <c r="AK11" s="105"/>
      <c r="AL11" s="97"/>
      <c r="AM11" s="60">
        <f t="shared" si="11"/>
        <v>0</v>
      </c>
      <c r="AN11" s="61">
        <f t="shared" si="12"/>
        <v>0</v>
      </c>
      <c r="AO11" s="61">
        <f t="shared" si="13"/>
        <v>0</v>
      </c>
      <c r="AP11" s="61"/>
      <c r="AQ11" s="61"/>
      <c r="AR11" s="61"/>
      <c r="AS11" s="61" t="e">
        <f t="shared" si="14"/>
        <v>#VALUE!</v>
      </c>
      <c r="AT11" s="105"/>
      <c r="AU11" s="105"/>
      <c r="AV11" s="61" t="e">
        <f t="shared" si="22"/>
        <v>#VALUE!</v>
      </c>
      <c r="AW11" s="61" t="e">
        <f t="shared" si="16"/>
        <v>#VALUE!</v>
      </c>
      <c r="AX11" s="61" t="e">
        <f t="shared" si="5"/>
        <v>#VALUE!</v>
      </c>
      <c r="AY11" s="61" t="e">
        <f t="shared" si="17"/>
        <v>#VALUE!</v>
      </c>
      <c r="AZ11" s="61" t="e">
        <f t="shared" si="18"/>
        <v>#VALUE!</v>
      </c>
      <c r="BA11" s="61" t="e">
        <f t="shared" si="19"/>
        <v>#VALUE!</v>
      </c>
      <c r="BB11" s="61">
        <f t="shared" si="20"/>
        <v>0</v>
      </c>
      <c r="BC11" s="105"/>
      <c r="BD11" s="62" t="e">
        <f t="shared" si="21"/>
        <v>#VALUE!</v>
      </c>
      <c r="BE11" s="105"/>
      <c r="BF11" s="114" t="s">
        <v>61</v>
      </c>
    </row>
    <row r="12" spans="1:58" ht="15" thickBot="1">
      <c r="A12" s="59">
        <v>6</v>
      </c>
      <c r="B12" s="103"/>
      <c r="C12" s="104"/>
      <c r="D12" s="105"/>
      <c r="E12" s="104"/>
      <c r="F12" s="106"/>
      <c r="G12" s="107"/>
      <c r="H12" s="105"/>
      <c r="I12" s="105"/>
      <c r="J12" s="105"/>
      <c r="K12" s="105"/>
      <c r="L12" s="105"/>
      <c r="M12" s="105"/>
      <c r="N12" s="105"/>
      <c r="O12" s="105"/>
      <c r="P12" s="105"/>
      <c r="Q12" s="105"/>
      <c r="R12" s="105"/>
      <c r="S12" s="105"/>
      <c r="T12" s="105"/>
      <c r="U12" s="105"/>
      <c r="V12" s="105"/>
      <c r="W12" s="105"/>
      <c r="X12" s="105"/>
      <c r="Y12" s="105"/>
      <c r="Z12" s="105"/>
      <c r="AA12" s="105"/>
      <c r="AB12" s="105"/>
      <c r="AC12" s="105"/>
      <c r="AD12" s="105"/>
      <c r="AE12" s="105"/>
      <c r="AF12" s="105"/>
      <c r="AG12" s="105"/>
      <c r="AH12" s="105"/>
      <c r="AI12" s="105"/>
      <c r="AJ12" s="105"/>
      <c r="AK12" s="105"/>
      <c r="AL12" s="97"/>
      <c r="AM12" s="60">
        <f t="shared" si="11"/>
        <v>0</v>
      </c>
      <c r="AN12" s="61">
        <f t="shared" si="12"/>
        <v>0</v>
      </c>
      <c r="AO12" s="61">
        <f t="shared" si="13"/>
        <v>0</v>
      </c>
      <c r="AP12" s="61"/>
      <c r="AQ12" s="61"/>
      <c r="AR12" s="61"/>
      <c r="AS12" s="61" t="e">
        <f t="shared" si="14"/>
        <v>#VALUE!</v>
      </c>
      <c r="AT12" s="105"/>
      <c r="AU12" s="105"/>
      <c r="AV12" s="61" t="e">
        <f>SUM(AM12:AO12)-AS12+AT12</f>
        <v>#VALUE!</v>
      </c>
      <c r="AW12" s="61" t="e">
        <f t="shared" si="16"/>
        <v>#VALUE!</v>
      </c>
      <c r="AX12" s="61" t="e">
        <f t="shared" si="5"/>
        <v>#VALUE!</v>
      </c>
      <c r="AY12" s="61" t="e">
        <f t="shared" si="17"/>
        <v>#VALUE!</v>
      </c>
      <c r="AZ12" s="61" t="e">
        <f t="shared" si="18"/>
        <v>#VALUE!</v>
      </c>
      <c r="BA12" s="61" t="e">
        <f t="shared" si="19"/>
        <v>#VALUE!</v>
      </c>
      <c r="BB12" s="61">
        <f t="shared" si="20"/>
        <v>0</v>
      </c>
      <c r="BC12" s="105"/>
      <c r="BD12" s="62" t="e">
        <f t="shared" si="21"/>
        <v>#VALUE!</v>
      </c>
      <c r="BE12" s="105"/>
      <c r="BF12" s="114" t="s">
        <v>61</v>
      </c>
    </row>
    <row r="13" spans="1:58" ht="15" thickBot="1">
      <c r="A13" s="59">
        <v>7</v>
      </c>
      <c r="B13" s="103"/>
      <c r="C13" s="104"/>
      <c r="D13" s="105"/>
      <c r="E13" s="104"/>
      <c r="F13" s="106"/>
      <c r="G13" s="107"/>
      <c r="H13" s="105"/>
      <c r="I13" s="105"/>
      <c r="J13" s="105"/>
      <c r="K13" s="105"/>
      <c r="L13" s="105"/>
      <c r="M13" s="105"/>
      <c r="N13" s="105"/>
      <c r="O13" s="105"/>
      <c r="P13" s="105"/>
      <c r="Q13" s="105"/>
      <c r="R13" s="105"/>
      <c r="S13" s="105"/>
      <c r="T13" s="105"/>
      <c r="U13" s="105"/>
      <c r="V13" s="105"/>
      <c r="W13" s="105"/>
      <c r="X13" s="105"/>
      <c r="Y13" s="105"/>
      <c r="Z13" s="105"/>
      <c r="AA13" s="105"/>
      <c r="AB13" s="105"/>
      <c r="AC13" s="105"/>
      <c r="AD13" s="105"/>
      <c r="AE13" s="105"/>
      <c r="AF13" s="105"/>
      <c r="AG13" s="105"/>
      <c r="AH13" s="105"/>
      <c r="AI13" s="105"/>
      <c r="AJ13" s="105"/>
      <c r="AK13" s="105"/>
      <c r="AL13" s="97"/>
      <c r="AM13" s="60">
        <f t="shared" si="11"/>
        <v>0</v>
      </c>
      <c r="AN13" s="61">
        <f t="shared" si="12"/>
        <v>0</v>
      </c>
      <c r="AO13" s="61">
        <f t="shared" si="13"/>
        <v>0</v>
      </c>
      <c r="AP13" s="61"/>
      <c r="AQ13" s="61"/>
      <c r="AR13" s="61"/>
      <c r="AS13" s="61" t="e">
        <f t="shared" si="14"/>
        <v>#VALUE!</v>
      </c>
      <c r="AT13" s="105"/>
      <c r="AU13" s="105"/>
      <c r="AV13" s="61" t="e">
        <f t="shared" ref="AV13:AV14" si="23">SUM(AM13:AO13)-AS13+AT13</f>
        <v>#VALUE!</v>
      </c>
      <c r="AW13" s="61" t="e">
        <f t="shared" si="16"/>
        <v>#VALUE!</v>
      </c>
      <c r="AX13" s="61" t="e">
        <f t="shared" si="5"/>
        <v>#VALUE!</v>
      </c>
      <c r="AY13" s="61" t="e">
        <f t="shared" si="17"/>
        <v>#VALUE!</v>
      </c>
      <c r="AZ13" s="61" t="e">
        <f t="shared" si="18"/>
        <v>#VALUE!</v>
      </c>
      <c r="BA13" s="61" t="e">
        <f t="shared" si="19"/>
        <v>#VALUE!</v>
      </c>
      <c r="BB13" s="61">
        <f t="shared" si="20"/>
        <v>0</v>
      </c>
      <c r="BC13" s="105"/>
      <c r="BD13" s="62" t="e">
        <f t="shared" si="21"/>
        <v>#VALUE!</v>
      </c>
      <c r="BE13" s="105"/>
      <c r="BF13" s="114" t="s">
        <v>61</v>
      </c>
    </row>
    <row r="14" spans="1:58" ht="15" thickBot="1">
      <c r="A14" s="59">
        <v>8</v>
      </c>
      <c r="B14" s="103"/>
      <c r="C14" s="104"/>
      <c r="D14" s="105"/>
      <c r="E14" s="104"/>
      <c r="F14" s="106"/>
      <c r="G14" s="107"/>
      <c r="H14" s="105"/>
      <c r="I14" s="105"/>
      <c r="J14" s="105"/>
      <c r="K14" s="105"/>
      <c r="L14" s="105"/>
      <c r="M14" s="105"/>
      <c r="N14" s="105"/>
      <c r="O14" s="105"/>
      <c r="P14" s="105"/>
      <c r="Q14" s="105"/>
      <c r="R14" s="105"/>
      <c r="S14" s="105"/>
      <c r="T14" s="105"/>
      <c r="U14" s="105"/>
      <c r="V14" s="105"/>
      <c r="W14" s="105"/>
      <c r="X14" s="105"/>
      <c r="Y14" s="105"/>
      <c r="Z14" s="105"/>
      <c r="AA14" s="105"/>
      <c r="AB14" s="105"/>
      <c r="AC14" s="105"/>
      <c r="AD14" s="105"/>
      <c r="AE14" s="105"/>
      <c r="AF14" s="105"/>
      <c r="AG14" s="105"/>
      <c r="AH14" s="105"/>
      <c r="AI14" s="105"/>
      <c r="AJ14" s="105"/>
      <c r="AK14" s="105"/>
      <c r="AL14" s="97"/>
      <c r="AM14" s="60">
        <f t="shared" si="11"/>
        <v>0</v>
      </c>
      <c r="AN14" s="61">
        <f t="shared" si="12"/>
        <v>0</v>
      </c>
      <c r="AO14" s="61">
        <f t="shared" si="13"/>
        <v>0</v>
      </c>
      <c r="AP14" s="61"/>
      <c r="AQ14" s="61"/>
      <c r="AR14" s="61"/>
      <c r="AS14" s="61" t="e">
        <f t="shared" si="14"/>
        <v>#VALUE!</v>
      </c>
      <c r="AT14" s="105"/>
      <c r="AU14" s="105"/>
      <c r="AV14" s="61" t="e">
        <f t="shared" si="23"/>
        <v>#VALUE!</v>
      </c>
      <c r="AW14" s="61" t="e">
        <f t="shared" si="16"/>
        <v>#VALUE!</v>
      </c>
      <c r="AX14" s="61" t="e">
        <f t="shared" si="5"/>
        <v>#VALUE!</v>
      </c>
      <c r="AY14" s="61" t="e">
        <f t="shared" si="17"/>
        <v>#VALUE!</v>
      </c>
      <c r="AZ14" s="61" t="e">
        <f t="shared" si="18"/>
        <v>#VALUE!</v>
      </c>
      <c r="BA14" s="61" t="e">
        <f t="shared" si="19"/>
        <v>#VALUE!</v>
      </c>
      <c r="BB14" s="61">
        <f t="shared" si="20"/>
        <v>0</v>
      </c>
      <c r="BC14" s="105"/>
      <c r="BD14" s="62" t="e">
        <f t="shared" si="21"/>
        <v>#VALUE!</v>
      </c>
      <c r="BE14" s="105"/>
      <c r="BF14" s="114" t="s">
        <v>61</v>
      </c>
    </row>
    <row r="15" spans="1:58" ht="15" thickBot="1">
      <c r="A15" s="59">
        <v>9</v>
      </c>
      <c r="B15" s="103"/>
      <c r="C15" s="104"/>
      <c r="D15" s="105"/>
      <c r="E15" s="104"/>
      <c r="F15" s="106"/>
      <c r="G15" s="107"/>
      <c r="H15" s="105"/>
      <c r="I15" s="105"/>
      <c r="J15" s="105"/>
      <c r="K15" s="105"/>
      <c r="L15" s="105"/>
      <c r="M15" s="105"/>
      <c r="N15" s="105"/>
      <c r="O15" s="105"/>
      <c r="P15" s="105"/>
      <c r="Q15" s="105"/>
      <c r="R15" s="105"/>
      <c r="S15" s="105"/>
      <c r="T15" s="105"/>
      <c r="U15" s="105"/>
      <c r="V15" s="105"/>
      <c r="W15" s="105"/>
      <c r="X15" s="105"/>
      <c r="Y15" s="105"/>
      <c r="Z15" s="105"/>
      <c r="AA15" s="105"/>
      <c r="AB15" s="105"/>
      <c r="AC15" s="105"/>
      <c r="AD15" s="105"/>
      <c r="AE15" s="105"/>
      <c r="AF15" s="105"/>
      <c r="AG15" s="105"/>
      <c r="AH15" s="105"/>
      <c r="AI15" s="105"/>
      <c r="AJ15" s="105"/>
      <c r="AK15" s="105"/>
      <c r="AL15" s="97"/>
      <c r="AM15" s="60">
        <f t="shared" si="11"/>
        <v>0</v>
      </c>
      <c r="AN15" s="61">
        <f t="shared" si="12"/>
        <v>0</v>
      </c>
      <c r="AO15" s="61">
        <f t="shared" si="13"/>
        <v>0</v>
      </c>
      <c r="AP15" s="61"/>
      <c r="AQ15" s="61"/>
      <c r="AR15" s="61"/>
      <c r="AS15" s="61" t="e">
        <f t="shared" si="14"/>
        <v>#VALUE!</v>
      </c>
      <c r="AT15" s="105"/>
      <c r="AU15" s="105"/>
      <c r="AV15" s="61" t="e">
        <f>SUM(AM15:AO15)-AS15+AT15</f>
        <v>#VALUE!</v>
      </c>
      <c r="AW15" s="61" t="e">
        <f t="shared" si="16"/>
        <v>#VALUE!</v>
      </c>
      <c r="AX15" s="61" t="e">
        <f t="shared" si="5"/>
        <v>#VALUE!</v>
      </c>
      <c r="AY15" s="61" t="e">
        <f t="shared" si="17"/>
        <v>#VALUE!</v>
      </c>
      <c r="AZ15" s="61" t="e">
        <f t="shared" si="18"/>
        <v>#VALUE!</v>
      </c>
      <c r="BA15" s="61" t="e">
        <f t="shared" si="19"/>
        <v>#VALUE!</v>
      </c>
      <c r="BB15" s="61">
        <f t="shared" si="20"/>
        <v>0</v>
      </c>
      <c r="BC15" s="105"/>
      <c r="BD15" s="62" t="e">
        <f t="shared" si="21"/>
        <v>#VALUE!</v>
      </c>
      <c r="BE15" s="105"/>
      <c r="BF15" s="114" t="s">
        <v>61</v>
      </c>
    </row>
    <row r="16" spans="1:58" ht="15" thickBot="1">
      <c r="A16" s="59">
        <v>10</v>
      </c>
      <c r="B16" s="103"/>
      <c r="C16" s="104"/>
      <c r="D16" s="105"/>
      <c r="E16" s="104"/>
      <c r="F16" s="106"/>
      <c r="G16" s="107"/>
      <c r="H16" s="105"/>
      <c r="I16" s="105"/>
      <c r="J16" s="105"/>
      <c r="K16" s="105"/>
      <c r="L16" s="105"/>
      <c r="M16" s="105"/>
      <c r="N16" s="105"/>
      <c r="O16" s="105"/>
      <c r="P16" s="105"/>
      <c r="Q16" s="105"/>
      <c r="R16" s="105"/>
      <c r="S16" s="105"/>
      <c r="T16" s="105"/>
      <c r="U16" s="105"/>
      <c r="V16" s="105"/>
      <c r="W16" s="105"/>
      <c r="X16" s="105"/>
      <c r="Y16" s="105"/>
      <c r="Z16" s="105"/>
      <c r="AA16" s="105"/>
      <c r="AB16" s="105"/>
      <c r="AC16" s="105"/>
      <c r="AD16" s="105"/>
      <c r="AE16" s="105"/>
      <c r="AF16" s="105"/>
      <c r="AG16" s="105"/>
      <c r="AH16" s="105"/>
      <c r="AI16" s="105"/>
      <c r="AJ16" s="105"/>
      <c r="AK16" s="105"/>
      <c r="AL16" s="97"/>
      <c r="AM16" s="60">
        <f t="shared" si="11"/>
        <v>0</v>
      </c>
      <c r="AN16" s="61">
        <f t="shared" si="12"/>
        <v>0</v>
      </c>
      <c r="AO16" s="61">
        <f t="shared" si="13"/>
        <v>0</v>
      </c>
      <c r="AP16" s="61"/>
      <c r="AQ16" s="61"/>
      <c r="AR16" s="61"/>
      <c r="AS16" s="61" t="e">
        <f t="shared" si="14"/>
        <v>#VALUE!</v>
      </c>
      <c r="AT16" s="105"/>
      <c r="AU16" s="105"/>
      <c r="AV16" s="61" t="e">
        <f t="shared" ref="AV16:AV17" si="24">SUM(AM16:AO16)-AS16+AT16</f>
        <v>#VALUE!</v>
      </c>
      <c r="AW16" s="61" t="e">
        <f t="shared" si="16"/>
        <v>#VALUE!</v>
      </c>
      <c r="AX16" s="61" t="e">
        <f t="shared" si="5"/>
        <v>#VALUE!</v>
      </c>
      <c r="AY16" s="61" t="e">
        <f t="shared" si="17"/>
        <v>#VALUE!</v>
      </c>
      <c r="AZ16" s="61" t="e">
        <f t="shared" si="18"/>
        <v>#VALUE!</v>
      </c>
      <c r="BA16" s="61" t="e">
        <f t="shared" si="19"/>
        <v>#VALUE!</v>
      </c>
      <c r="BB16" s="61">
        <f t="shared" si="20"/>
        <v>0</v>
      </c>
      <c r="BC16" s="105"/>
      <c r="BD16" s="62" t="e">
        <f t="shared" si="21"/>
        <v>#VALUE!</v>
      </c>
      <c r="BE16" s="105"/>
      <c r="BF16" s="114" t="s">
        <v>61</v>
      </c>
    </row>
    <row r="17" spans="1:58" ht="15" thickBot="1">
      <c r="A17" s="59">
        <v>11</v>
      </c>
      <c r="B17" s="103"/>
      <c r="C17" s="104"/>
      <c r="D17" s="105"/>
      <c r="E17" s="104"/>
      <c r="F17" s="106"/>
      <c r="G17" s="107"/>
      <c r="H17" s="105"/>
      <c r="I17" s="105"/>
      <c r="J17" s="105"/>
      <c r="K17" s="105"/>
      <c r="L17" s="105"/>
      <c r="M17" s="105"/>
      <c r="N17" s="105"/>
      <c r="O17" s="105"/>
      <c r="P17" s="105"/>
      <c r="Q17" s="105"/>
      <c r="R17" s="105"/>
      <c r="S17" s="105"/>
      <c r="T17" s="105"/>
      <c r="U17" s="105"/>
      <c r="V17" s="105"/>
      <c r="W17" s="105"/>
      <c r="X17" s="105"/>
      <c r="Y17" s="105"/>
      <c r="Z17" s="105"/>
      <c r="AA17" s="105"/>
      <c r="AB17" s="105"/>
      <c r="AC17" s="105"/>
      <c r="AD17" s="105"/>
      <c r="AE17" s="105"/>
      <c r="AF17" s="105"/>
      <c r="AG17" s="105"/>
      <c r="AH17" s="105"/>
      <c r="AI17" s="105"/>
      <c r="AJ17" s="105"/>
      <c r="AK17" s="105"/>
      <c r="AL17" s="97"/>
      <c r="AM17" s="60">
        <f t="shared" si="11"/>
        <v>0</v>
      </c>
      <c r="AN17" s="61">
        <f t="shared" si="12"/>
        <v>0</v>
      </c>
      <c r="AO17" s="61">
        <f t="shared" si="13"/>
        <v>0</v>
      </c>
      <c r="AP17" s="61"/>
      <c r="AQ17" s="61"/>
      <c r="AR17" s="61"/>
      <c r="AS17" s="61" t="e">
        <f t="shared" si="14"/>
        <v>#VALUE!</v>
      </c>
      <c r="AT17" s="105"/>
      <c r="AU17" s="105"/>
      <c r="AV17" s="61" t="e">
        <f t="shared" si="24"/>
        <v>#VALUE!</v>
      </c>
      <c r="AW17" s="61" t="e">
        <f t="shared" si="16"/>
        <v>#VALUE!</v>
      </c>
      <c r="AX17" s="61" t="e">
        <f t="shared" si="5"/>
        <v>#VALUE!</v>
      </c>
      <c r="AY17" s="61" t="e">
        <f t="shared" si="17"/>
        <v>#VALUE!</v>
      </c>
      <c r="AZ17" s="61" t="e">
        <f t="shared" si="18"/>
        <v>#VALUE!</v>
      </c>
      <c r="BA17" s="61" t="e">
        <f t="shared" si="19"/>
        <v>#VALUE!</v>
      </c>
      <c r="BB17" s="61">
        <f t="shared" si="20"/>
        <v>0</v>
      </c>
      <c r="BC17" s="105"/>
      <c r="BD17" s="62" t="e">
        <f t="shared" si="21"/>
        <v>#VALUE!</v>
      </c>
      <c r="BE17" s="105"/>
      <c r="BF17" s="114" t="s">
        <v>61</v>
      </c>
    </row>
    <row r="18" spans="1:58" ht="15" thickBot="1">
      <c r="A18" s="59">
        <v>12</v>
      </c>
      <c r="B18" s="103"/>
      <c r="C18" s="104"/>
      <c r="D18" s="105"/>
      <c r="E18" s="104"/>
      <c r="F18" s="106"/>
      <c r="G18" s="107"/>
      <c r="H18" s="105"/>
      <c r="I18" s="105"/>
      <c r="J18" s="105"/>
      <c r="K18" s="105"/>
      <c r="L18" s="105"/>
      <c r="M18" s="105"/>
      <c r="N18" s="105"/>
      <c r="O18" s="105"/>
      <c r="P18" s="105"/>
      <c r="Q18" s="105"/>
      <c r="R18" s="105"/>
      <c r="S18" s="105"/>
      <c r="T18" s="105"/>
      <c r="U18" s="105"/>
      <c r="V18" s="105"/>
      <c r="W18" s="105"/>
      <c r="X18" s="105"/>
      <c r="Y18" s="105"/>
      <c r="Z18" s="105"/>
      <c r="AA18" s="105"/>
      <c r="AB18" s="105"/>
      <c r="AC18" s="105"/>
      <c r="AD18" s="105"/>
      <c r="AE18" s="105"/>
      <c r="AF18" s="105"/>
      <c r="AG18" s="105"/>
      <c r="AH18" s="105"/>
      <c r="AI18" s="105"/>
      <c r="AJ18" s="105"/>
      <c r="AK18" s="105"/>
      <c r="AL18" s="97"/>
      <c r="AM18" s="60">
        <f t="shared" si="11"/>
        <v>0</v>
      </c>
      <c r="AN18" s="61">
        <f t="shared" si="12"/>
        <v>0</v>
      </c>
      <c r="AO18" s="61">
        <f t="shared" si="13"/>
        <v>0</v>
      </c>
      <c r="AP18" s="61"/>
      <c r="AQ18" s="61"/>
      <c r="AR18" s="61"/>
      <c r="AS18" s="61" t="e">
        <f t="shared" si="14"/>
        <v>#VALUE!</v>
      </c>
      <c r="AT18" s="105"/>
      <c r="AU18" s="105"/>
      <c r="AV18" s="61" t="e">
        <f t="shared" ref="AV18:AV19" si="25">SUM(AM18:AO18)-AS18+AT18</f>
        <v>#VALUE!</v>
      </c>
      <c r="AW18" s="61" t="e">
        <f t="shared" si="16"/>
        <v>#VALUE!</v>
      </c>
      <c r="AX18" s="61" t="e">
        <f t="shared" si="5"/>
        <v>#VALUE!</v>
      </c>
      <c r="AY18" s="61" t="e">
        <f t="shared" si="17"/>
        <v>#VALUE!</v>
      </c>
      <c r="AZ18" s="61" t="e">
        <f t="shared" si="18"/>
        <v>#VALUE!</v>
      </c>
      <c r="BA18" s="61" t="e">
        <f t="shared" si="19"/>
        <v>#VALUE!</v>
      </c>
      <c r="BB18" s="61">
        <f t="shared" si="20"/>
        <v>0</v>
      </c>
      <c r="BC18" s="105"/>
      <c r="BD18" s="62" t="e">
        <f t="shared" si="21"/>
        <v>#VALUE!</v>
      </c>
      <c r="BE18" s="105"/>
      <c r="BF18" s="114" t="s">
        <v>61</v>
      </c>
    </row>
    <row r="19" spans="1:58" ht="15" thickBot="1">
      <c r="A19" s="59">
        <v>13</v>
      </c>
      <c r="B19" s="103"/>
      <c r="C19" s="104"/>
      <c r="D19" s="105"/>
      <c r="E19" s="104"/>
      <c r="F19" s="106"/>
      <c r="G19" s="107"/>
      <c r="H19" s="105"/>
      <c r="I19" s="105"/>
      <c r="J19" s="105"/>
      <c r="K19" s="105"/>
      <c r="L19" s="105"/>
      <c r="M19" s="105"/>
      <c r="N19" s="105"/>
      <c r="O19" s="105"/>
      <c r="P19" s="105"/>
      <c r="Q19" s="105"/>
      <c r="R19" s="105"/>
      <c r="S19" s="105"/>
      <c r="T19" s="105"/>
      <c r="U19" s="105"/>
      <c r="V19" s="105"/>
      <c r="W19" s="105"/>
      <c r="X19" s="105"/>
      <c r="Y19" s="105"/>
      <c r="Z19" s="105"/>
      <c r="AA19" s="105"/>
      <c r="AB19" s="105"/>
      <c r="AC19" s="105"/>
      <c r="AD19" s="105"/>
      <c r="AE19" s="105"/>
      <c r="AF19" s="105"/>
      <c r="AG19" s="105"/>
      <c r="AH19" s="105"/>
      <c r="AI19" s="105"/>
      <c r="AJ19" s="105"/>
      <c r="AK19" s="105"/>
      <c r="AL19" s="97"/>
      <c r="AM19" s="60">
        <f t="shared" si="11"/>
        <v>0</v>
      </c>
      <c r="AN19" s="61">
        <f t="shared" si="12"/>
        <v>0</v>
      </c>
      <c r="AO19" s="61">
        <f t="shared" si="13"/>
        <v>0</v>
      </c>
      <c r="AP19" s="61"/>
      <c r="AQ19" s="61"/>
      <c r="AR19" s="61"/>
      <c r="AS19" s="61" t="e">
        <f t="shared" si="14"/>
        <v>#VALUE!</v>
      </c>
      <c r="AT19" s="105"/>
      <c r="AU19" s="105"/>
      <c r="AV19" s="61" t="e">
        <f t="shared" si="25"/>
        <v>#VALUE!</v>
      </c>
      <c r="AW19" s="61" t="e">
        <f t="shared" si="16"/>
        <v>#VALUE!</v>
      </c>
      <c r="AX19" s="61" t="e">
        <f t="shared" si="5"/>
        <v>#VALUE!</v>
      </c>
      <c r="AY19" s="61" t="e">
        <f t="shared" si="17"/>
        <v>#VALUE!</v>
      </c>
      <c r="AZ19" s="61" t="e">
        <f t="shared" si="18"/>
        <v>#VALUE!</v>
      </c>
      <c r="BA19" s="61" t="e">
        <f t="shared" si="19"/>
        <v>#VALUE!</v>
      </c>
      <c r="BB19" s="61">
        <f t="shared" si="20"/>
        <v>0</v>
      </c>
      <c r="BC19" s="105"/>
      <c r="BD19" s="62" t="e">
        <f t="shared" si="21"/>
        <v>#VALUE!</v>
      </c>
      <c r="BE19" s="105"/>
      <c r="BF19" s="114" t="s">
        <v>61</v>
      </c>
    </row>
    <row r="20" spans="1:58" ht="15" thickBot="1">
      <c r="A20" s="59">
        <v>14</v>
      </c>
      <c r="B20" s="103"/>
      <c r="C20" s="104"/>
      <c r="D20" s="105"/>
      <c r="E20" s="104"/>
      <c r="F20" s="106"/>
      <c r="G20" s="107"/>
      <c r="H20" s="105"/>
      <c r="I20" s="105"/>
      <c r="J20" s="105"/>
      <c r="K20" s="105"/>
      <c r="L20" s="105"/>
      <c r="M20" s="105"/>
      <c r="N20" s="105"/>
      <c r="O20" s="105"/>
      <c r="P20" s="105"/>
      <c r="Q20" s="105"/>
      <c r="R20" s="105"/>
      <c r="S20" s="105"/>
      <c r="T20" s="105"/>
      <c r="U20" s="105"/>
      <c r="V20" s="105"/>
      <c r="W20" s="105"/>
      <c r="X20" s="105"/>
      <c r="Y20" s="105"/>
      <c r="Z20" s="105"/>
      <c r="AA20" s="105"/>
      <c r="AB20" s="105"/>
      <c r="AC20" s="105"/>
      <c r="AD20" s="105"/>
      <c r="AE20" s="105"/>
      <c r="AF20" s="105"/>
      <c r="AG20" s="105"/>
      <c r="AH20" s="105"/>
      <c r="AI20" s="105"/>
      <c r="AJ20" s="105"/>
      <c r="AK20" s="105"/>
      <c r="AL20" s="97"/>
      <c r="AM20" s="60">
        <f t="shared" si="11"/>
        <v>0</v>
      </c>
      <c r="AN20" s="61">
        <f t="shared" si="12"/>
        <v>0</v>
      </c>
      <c r="AO20" s="61">
        <f t="shared" si="13"/>
        <v>0</v>
      </c>
      <c r="AP20" s="61"/>
      <c r="AQ20" s="61"/>
      <c r="AR20" s="61"/>
      <c r="AS20" s="61" t="e">
        <f t="shared" si="14"/>
        <v>#VALUE!</v>
      </c>
      <c r="AT20" s="105"/>
      <c r="AU20" s="105"/>
      <c r="AV20" s="61" t="e">
        <f t="shared" ref="AV20:AV21" si="26">SUM(AM20:AO20)-AS20+AT20</f>
        <v>#VALUE!</v>
      </c>
      <c r="AW20" s="61" t="e">
        <f t="shared" si="16"/>
        <v>#VALUE!</v>
      </c>
      <c r="AX20" s="61" t="e">
        <f t="shared" si="5"/>
        <v>#VALUE!</v>
      </c>
      <c r="AY20" s="61" t="e">
        <f t="shared" si="17"/>
        <v>#VALUE!</v>
      </c>
      <c r="AZ20" s="61" t="e">
        <f t="shared" si="18"/>
        <v>#VALUE!</v>
      </c>
      <c r="BA20" s="61" t="e">
        <f t="shared" si="19"/>
        <v>#VALUE!</v>
      </c>
      <c r="BB20" s="61">
        <f t="shared" si="20"/>
        <v>0</v>
      </c>
      <c r="BC20" s="105"/>
      <c r="BD20" s="62" t="e">
        <f t="shared" si="21"/>
        <v>#VALUE!</v>
      </c>
      <c r="BE20" s="105"/>
      <c r="BF20" s="114" t="s">
        <v>61</v>
      </c>
    </row>
    <row r="21" spans="1:58" ht="15" thickBot="1">
      <c r="A21" s="59">
        <v>15</v>
      </c>
      <c r="B21" s="103"/>
      <c r="C21" s="104"/>
      <c r="D21" s="105"/>
      <c r="E21" s="104"/>
      <c r="F21" s="106"/>
      <c r="G21" s="107"/>
      <c r="H21" s="105"/>
      <c r="I21" s="105"/>
      <c r="J21" s="105"/>
      <c r="K21" s="105"/>
      <c r="L21" s="105"/>
      <c r="M21" s="105"/>
      <c r="N21" s="105"/>
      <c r="O21" s="105"/>
      <c r="P21" s="105"/>
      <c r="Q21" s="105"/>
      <c r="R21" s="105"/>
      <c r="S21" s="105"/>
      <c r="T21" s="105"/>
      <c r="U21" s="105"/>
      <c r="V21" s="105"/>
      <c r="W21" s="105"/>
      <c r="X21" s="105"/>
      <c r="Y21" s="105"/>
      <c r="Z21" s="105"/>
      <c r="AA21" s="105"/>
      <c r="AB21" s="105"/>
      <c r="AC21" s="105"/>
      <c r="AD21" s="105"/>
      <c r="AE21" s="105"/>
      <c r="AF21" s="105"/>
      <c r="AG21" s="105"/>
      <c r="AH21" s="105"/>
      <c r="AI21" s="105"/>
      <c r="AJ21" s="105"/>
      <c r="AK21" s="105"/>
      <c r="AL21" s="97"/>
      <c r="AM21" s="60">
        <f t="shared" si="11"/>
        <v>0</v>
      </c>
      <c r="AN21" s="61">
        <f t="shared" si="12"/>
        <v>0</v>
      </c>
      <c r="AO21" s="61">
        <f t="shared" si="13"/>
        <v>0</v>
      </c>
      <c r="AP21" s="61"/>
      <c r="AQ21" s="61"/>
      <c r="AR21" s="61"/>
      <c r="AS21" s="61" t="e">
        <f t="shared" si="14"/>
        <v>#VALUE!</v>
      </c>
      <c r="AT21" s="105"/>
      <c r="AU21" s="105"/>
      <c r="AV21" s="61" t="e">
        <f t="shared" si="26"/>
        <v>#VALUE!</v>
      </c>
      <c r="AW21" s="61" t="e">
        <f t="shared" si="16"/>
        <v>#VALUE!</v>
      </c>
      <c r="AX21" s="61" t="e">
        <f t="shared" si="5"/>
        <v>#VALUE!</v>
      </c>
      <c r="AY21" s="61" t="e">
        <f t="shared" si="17"/>
        <v>#VALUE!</v>
      </c>
      <c r="AZ21" s="61" t="e">
        <f t="shared" si="18"/>
        <v>#VALUE!</v>
      </c>
      <c r="BA21" s="61" t="e">
        <f t="shared" si="19"/>
        <v>#VALUE!</v>
      </c>
      <c r="BB21" s="61">
        <f t="shared" si="20"/>
        <v>0</v>
      </c>
      <c r="BC21" s="105"/>
      <c r="BD21" s="62" t="e">
        <f t="shared" si="21"/>
        <v>#VALUE!</v>
      </c>
      <c r="BE21" s="105"/>
      <c r="BF21" s="114" t="s">
        <v>61</v>
      </c>
    </row>
    <row r="22" spans="1:58" ht="15" thickBot="1">
      <c r="A22" s="59">
        <v>16</v>
      </c>
      <c r="B22" s="103"/>
      <c r="C22" s="104"/>
      <c r="D22" s="105"/>
      <c r="E22" s="104"/>
      <c r="F22" s="106"/>
      <c r="G22" s="107"/>
      <c r="H22" s="105"/>
      <c r="I22" s="105"/>
      <c r="J22" s="105"/>
      <c r="K22" s="105"/>
      <c r="L22" s="105"/>
      <c r="M22" s="105"/>
      <c r="N22" s="105"/>
      <c r="O22" s="105"/>
      <c r="P22" s="105"/>
      <c r="Q22" s="105"/>
      <c r="R22" s="105"/>
      <c r="S22" s="105"/>
      <c r="T22" s="105"/>
      <c r="U22" s="105"/>
      <c r="V22" s="105"/>
      <c r="W22" s="105"/>
      <c r="X22" s="105"/>
      <c r="Y22" s="105"/>
      <c r="Z22" s="105"/>
      <c r="AA22" s="105"/>
      <c r="AB22" s="105"/>
      <c r="AC22" s="105"/>
      <c r="AD22" s="105"/>
      <c r="AE22" s="105"/>
      <c r="AF22" s="105"/>
      <c r="AG22" s="105"/>
      <c r="AH22" s="105"/>
      <c r="AI22" s="105"/>
      <c r="AJ22" s="105"/>
      <c r="AK22" s="105"/>
      <c r="AL22" s="97"/>
      <c r="AM22" s="60">
        <f t="shared" ref="AM22:AM36" si="27">COUNTIFS(G22:AK22,"日",$G$4:$AK$4,"&lt;="&amp;$D$2)*12</f>
        <v>0</v>
      </c>
      <c r="AN22" s="61">
        <f t="shared" ref="AN22:AN36" si="28">COUNTIFS(G22:AK22,"夜",$G$4:$AK$4,"&lt;="&amp;$D$2)*12</f>
        <v>0</v>
      </c>
      <c r="AO22" s="61">
        <f t="shared" ref="AO22:AO36" si="29">COUNTIFS(G22:AK22,"常",$G$4:$AK$4,"&lt;="&amp;$D$2)*8</f>
        <v>0</v>
      </c>
      <c r="AP22" s="61"/>
      <c r="AQ22" s="61"/>
      <c r="AR22" s="61"/>
      <c r="AS22" s="61" t="e">
        <f t="shared" ref="AS22:AS36" si="30">COUNTIFS(G22:AK22,"日",$G$4:$AK$4,"&lt;="&amp;$D$2,$G$5:$AK$5,"PH")*12+COUNTIFS(G22:AK22,"常",$G$4:$AK$4,"&lt;="&amp;$D$2,$G$5:$AK$5,"PH")*8+COUNTIFS(G22:AK22,"夜",$G$4:$AK$4,"&lt;="&amp;$D$2,$G$5:$AK$5,"PH")*3.5+
IF(AND(G22="夜",$H$5="PH",$G$4&lt;=$D$2),8.5,0)+IF(AND(H22="夜",$I$5="PH",$H$4&lt;=$D$2),8.5,0)+IF(AND(I22="夜",$J$5="PH",$I$4&lt;=$D$2),8.5,0)+IF(AND(J22="夜",$K$5="PH",$J$4&lt;=$D$2),8.5,0)+IF(AND(K22="夜",$L$5="PH",$K$4&lt;=$D$2),8.5,0)+IF(AND(L22="夜",$M$5="PH",$L$4&lt;=$D$2),8.5,0)+IF(AND(M22="夜",$N$5="PH",$M$4&lt;=$D$2),8.5,0)+IF(AND(N22="夜",$O$5="PH",$N$4&lt;=$D$2),8.5,0)+IF(AND(O22="夜",$P$5="PH",$O$4&lt;=$D$2),8.5,0)+IF(AND(P22="夜",$Q$5="PH",$P$4&lt;=$D$2),8.5,0)+IF(AND(Q22="夜",$R$5="PH",$Q$4&lt;=$D$2),8.5,0)+IF(AND(R22="夜",$S$5="PH",$R$4&lt;=$D$2),8.5,0)+IF(AND(S22="夜",$T$5="PH",$S$4&lt;=$D$2),8.5,0)+IF(AND(T22="夜",$U$5="PH",$T$4&lt;=$D$2),8.5,0)+IF(AND(U22="夜",$V$5="PH",$U$4&lt;=$D$2),8.5,0)+IF(AND(V22="夜",$W$5="PH",$V$4&lt;=$D$2),8.5,0)+IF(AND(W22="夜",$X$5="PH",$W$4&lt;=$D$2),8.5,0)+IF(AND(X22="夜",$Y$5="PH",$X$4&lt;=$D$2),8.5,0)+IF(AND(Y22="夜",$Z$5="PH",$Y$4&lt;=$D$2),8.5,0)+IF(AND(Z22="夜",$AA$5="PH",$Z$4&lt;=$D$2),8.5,0)+IF(AND(AA22="夜",$AB$5="PH",$AA$4&lt;=$D$2),8.5,0)+IF(AND(AB22="夜",$AC$5="PH",$AB$4&lt;=$D$2),8.5,0)+IF(AND(AC22="夜",$AD$5="PH",$AC$4&lt;=$D$2),8.5,0)+IF(AND(AD22="夜",$AE$5="PH",$AD$4&lt;=$D$2),8.5,0)+IF(AND(AE22="夜",$AF$5="PH",$AE$4&lt;=$D$2),8.5,0)+IF(AND(AF22="夜",$AG$5="PH",$AF$4&lt;=$D$2),8.5,0)+IF(AND(AG22="夜",$AH$5="PH",$AG$4&lt;=$D$2),8.5,0)+IF(AND(AH22="夜",$AI$5="PH",$AH$4&lt;=$D$2),8.5,0)+IF(AND(AI22="夜",$AJ$5="PH",$AI$4&lt;=$D$2),8.5,0)+IF(AND(AJ22="夜",$AK$5="PH",$AJ$4&lt;=$D$2),8.5,0)+IF(AND(AK22="夜",$AL$5="PH",$AK$4&lt;=$D$2),8.5,0)</f>
        <v>#VALUE!</v>
      </c>
      <c r="AT22" s="105"/>
      <c r="AU22" s="105"/>
      <c r="AV22" s="61" t="e">
        <f t="shared" ref="AV22:AV36" si="31">SUM(AM22:AO22)-AS22+AT22</f>
        <v>#VALUE!</v>
      </c>
      <c r="AW22" s="61" t="e">
        <f t="shared" ref="AW22:AW36" si="32">AV22/8</f>
        <v>#VALUE!</v>
      </c>
      <c r="AX22" s="61" t="e">
        <f t="shared" si="5"/>
        <v>#VALUE!</v>
      </c>
      <c r="AY22" s="61" t="e">
        <f t="shared" ref="AY22:AY36" si="33">ROUND(IF(AW22&gt;=AX22,AX22,AW22)*D22,2)</f>
        <v>#VALUE!</v>
      </c>
      <c r="AZ22" s="61" t="e">
        <f t="shared" ref="AZ22:AZ36" si="34">ROUND(IF((AW22-AX22)*1.5*D22&lt;0,0,(AW22-AX22)*1.5*D22),2)</f>
        <v>#VALUE!</v>
      </c>
      <c r="BA22" s="61" t="e">
        <f t="shared" ref="BA22:BA36" si="35">ROUND(D22/8*(AS22+AU22)*3,2)</f>
        <v>#VALUE!</v>
      </c>
      <c r="BB22" s="61">
        <f t="shared" ref="BB22:BB36" si="36">COUNTIFS(G22:AK22,"日",$G$4:$AK$4,"&lt;="&amp;$D$2)*50+COUNTIFS(G22:AK22,"夜",$G$4:$AK$4,"&lt;="&amp;$D$2)*50</f>
        <v>0</v>
      </c>
      <c r="BC22" s="105"/>
      <c r="BD22" s="62" t="e">
        <f t="shared" ref="BD22:BD36" si="37">SUM(AY22:BC22)</f>
        <v>#VALUE!</v>
      </c>
      <c r="BE22" s="105"/>
      <c r="BF22" s="114" t="s">
        <v>61</v>
      </c>
    </row>
    <row r="23" spans="1:58" ht="15" thickBot="1">
      <c r="A23" s="59">
        <v>17</v>
      </c>
      <c r="B23" s="103"/>
      <c r="C23" s="104"/>
      <c r="D23" s="105"/>
      <c r="E23" s="104"/>
      <c r="F23" s="106"/>
      <c r="G23" s="107"/>
      <c r="H23" s="105"/>
      <c r="I23" s="105"/>
      <c r="J23" s="105"/>
      <c r="K23" s="105"/>
      <c r="L23" s="105"/>
      <c r="M23" s="105"/>
      <c r="N23" s="105"/>
      <c r="O23" s="105"/>
      <c r="P23" s="105"/>
      <c r="Q23" s="105"/>
      <c r="R23" s="105"/>
      <c r="S23" s="105"/>
      <c r="T23" s="105"/>
      <c r="U23" s="105"/>
      <c r="V23" s="105"/>
      <c r="W23" s="105"/>
      <c r="X23" s="105"/>
      <c r="Y23" s="105"/>
      <c r="Z23" s="105"/>
      <c r="AA23" s="105"/>
      <c r="AB23" s="105"/>
      <c r="AC23" s="105"/>
      <c r="AD23" s="105"/>
      <c r="AE23" s="105"/>
      <c r="AF23" s="105"/>
      <c r="AG23" s="105"/>
      <c r="AH23" s="105"/>
      <c r="AI23" s="105"/>
      <c r="AJ23" s="105"/>
      <c r="AK23" s="105"/>
      <c r="AL23" s="97"/>
      <c r="AM23" s="60">
        <f t="shared" si="27"/>
        <v>0</v>
      </c>
      <c r="AN23" s="61">
        <f t="shared" si="28"/>
        <v>0</v>
      </c>
      <c r="AO23" s="61">
        <f t="shared" si="29"/>
        <v>0</v>
      </c>
      <c r="AP23" s="61"/>
      <c r="AQ23" s="61"/>
      <c r="AR23" s="61"/>
      <c r="AS23" s="61" t="e">
        <f t="shared" si="30"/>
        <v>#VALUE!</v>
      </c>
      <c r="AT23" s="105"/>
      <c r="AU23" s="105"/>
      <c r="AV23" s="61" t="e">
        <f t="shared" si="31"/>
        <v>#VALUE!</v>
      </c>
      <c r="AW23" s="61" t="e">
        <f t="shared" si="32"/>
        <v>#VALUE!</v>
      </c>
      <c r="AX23" s="61" t="e">
        <f t="shared" si="5"/>
        <v>#VALUE!</v>
      </c>
      <c r="AY23" s="61" t="e">
        <f t="shared" si="33"/>
        <v>#VALUE!</v>
      </c>
      <c r="AZ23" s="61" t="e">
        <f t="shared" si="34"/>
        <v>#VALUE!</v>
      </c>
      <c r="BA23" s="61" t="e">
        <f t="shared" si="35"/>
        <v>#VALUE!</v>
      </c>
      <c r="BB23" s="61">
        <f t="shared" si="36"/>
        <v>0</v>
      </c>
      <c r="BC23" s="105"/>
      <c r="BD23" s="62" t="e">
        <f t="shared" si="37"/>
        <v>#VALUE!</v>
      </c>
      <c r="BE23" s="105"/>
      <c r="BF23" s="114" t="s">
        <v>61</v>
      </c>
    </row>
    <row r="24" spans="1:58" ht="15" thickBot="1">
      <c r="A24" s="59">
        <v>18</v>
      </c>
      <c r="B24" s="103"/>
      <c r="C24" s="104"/>
      <c r="D24" s="105"/>
      <c r="E24" s="104"/>
      <c r="F24" s="106"/>
      <c r="G24" s="107"/>
      <c r="H24" s="105"/>
      <c r="I24" s="105"/>
      <c r="J24" s="105"/>
      <c r="K24" s="105"/>
      <c r="L24" s="105"/>
      <c r="M24" s="105"/>
      <c r="N24" s="105"/>
      <c r="O24" s="105"/>
      <c r="P24" s="105"/>
      <c r="Q24" s="105"/>
      <c r="R24" s="105"/>
      <c r="S24" s="105"/>
      <c r="T24" s="105"/>
      <c r="U24" s="105"/>
      <c r="V24" s="105"/>
      <c r="W24" s="105"/>
      <c r="X24" s="105"/>
      <c r="Y24" s="105"/>
      <c r="Z24" s="105"/>
      <c r="AA24" s="105"/>
      <c r="AB24" s="105"/>
      <c r="AC24" s="105"/>
      <c r="AD24" s="105"/>
      <c r="AE24" s="105"/>
      <c r="AF24" s="105"/>
      <c r="AG24" s="105"/>
      <c r="AH24" s="105"/>
      <c r="AI24" s="105"/>
      <c r="AJ24" s="105"/>
      <c r="AK24" s="105"/>
      <c r="AL24" s="97"/>
      <c r="AM24" s="60">
        <f t="shared" si="27"/>
        <v>0</v>
      </c>
      <c r="AN24" s="61">
        <f t="shared" si="28"/>
        <v>0</v>
      </c>
      <c r="AO24" s="61">
        <f t="shared" si="29"/>
        <v>0</v>
      </c>
      <c r="AP24" s="61"/>
      <c r="AQ24" s="61"/>
      <c r="AR24" s="61"/>
      <c r="AS24" s="61" t="e">
        <f t="shared" si="30"/>
        <v>#VALUE!</v>
      </c>
      <c r="AT24" s="105"/>
      <c r="AU24" s="105"/>
      <c r="AV24" s="61" t="e">
        <f t="shared" si="31"/>
        <v>#VALUE!</v>
      </c>
      <c r="AW24" s="61" t="e">
        <f t="shared" si="32"/>
        <v>#VALUE!</v>
      </c>
      <c r="AX24" s="61" t="e">
        <f t="shared" si="5"/>
        <v>#VALUE!</v>
      </c>
      <c r="AY24" s="61" t="e">
        <f t="shared" si="33"/>
        <v>#VALUE!</v>
      </c>
      <c r="AZ24" s="61" t="e">
        <f t="shared" si="34"/>
        <v>#VALUE!</v>
      </c>
      <c r="BA24" s="61" t="e">
        <f t="shared" si="35"/>
        <v>#VALUE!</v>
      </c>
      <c r="BB24" s="61">
        <f t="shared" si="36"/>
        <v>0</v>
      </c>
      <c r="BC24" s="105"/>
      <c r="BD24" s="62" t="e">
        <f t="shared" si="37"/>
        <v>#VALUE!</v>
      </c>
      <c r="BE24" s="105"/>
      <c r="BF24" s="114" t="s">
        <v>61</v>
      </c>
    </row>
    <row r="25" spans="1:58" ht="15" thickBot="1">
      <c r="A25" s="59">
        <v>19</v>
      </c>
      <c r="B25" s="103"/>
      <c r="C25" s="104"/>
      <c r="D25" s="105"/>
      <c r="E25" s="104"/>
      <c r="F25" s="106"/>
      <c r="G25" s="107"/>
      <c r="H25" s="105"/>
      <c r="I25" s="105"/>
      <c r="J25" s="105"/>
      <c r="K25" s="105"/>
      <c r="L25" s="105"/>
      <c r="M25" s="105"/>
      <c r="N25" s="105"/>
      <c r="O25" s="105"/>
      <c r="P25" s="105"/>
      <c r="Q25" s="105"/>
      <c r="R25" s="105"/>
      <c r="S25" s="105"/>
      <c r="T25" s="105"/>
      <c r="U25" s="105"/>
      <c r="V25" s="105"/>
      <c r="W25" s="105"/>
      <c r="X25" s="105"/>
      <c r="Y25" s="105"/>
      <c r="Z25" s="105"/>
      <c r="AA25" s="105"/>
      <c r="AB25" s="105"/>
      <c r="AC25" s="105"/>
      <c r="AD25" s="105"/>
      <c r="AE25" s="105"/>
      <c r="AF25" s="105"/>
      <c r="AG25" s="105"/>
      <c r="AH25" s="105"/>
      <c r="AI25" s="105"/>
      <c r="AJ25" s="105"/>
      <c r="AK25" s="105"/>
      <c r="AL25" s="97"/>
      <c r="AM25" s="60">
        <f t="shared" si="27"/>
        <v>0</v>
      </c>
      <c r="AN25" s="61">
        <f t="shared" si="28"/>
        <v>0</v>
      </c>
      <c r="AO25" s="61">
        <f t="shared" si="29"/>
        <v>0</v>
      </c>
      <c r="AP25" s="61"/>
      <c r="AQ25" s="61"/>
      <c r="AR25" s="61"/>
      <c r="AS25" s="61" t="e">
        <f t="shared" si="30"/>
        <v>#VALUE!</v>
      </c>
      <c r="AT25" s="105"/>
      <c r="AU25" s="105"/>
      <c r="AV25" s="61" t="e">
        <f t="shared" si="31"/>
        <v>#VALUE!</v>
      </c>
      <c r="AW25" s="61" t="e">
        <f t="shared" si="32"/>
        <v>#VALUE!</v>
      </c>
      <c r="AX25" s="61" t="e">
        <f t="shared" si="5"/>
        <v>#VALUE!</v>
      </c>
      <c r="AY25" s="61" t="e">
        <f t="shared" si="33"/>
        <v>#VALUE!</v>
      </c>
      <c r="AZ25" s="61" t="e">
        <f t="shared" si="34"/>
        <v>#VALUE!</v>
      </c>
      <c r="BA25" s="61" t="e">
        <f t="shared" si="35"/>
        <v>#VALUE!</v>
      </c>
      <c r="BB25" s="61">
        <f t="shared" si="36"/>
        <v>0</v>
      </c>
      <c r="BC25" s="105"/>
      <c r="BD25" s="62" t="e">
        <f t="shared" si="37"/>
        <v>#VALUE!</v>
      </c>
      <c r="BE25" s="105"/>
      <c r="BF25" s="114" t="s">
        <v>61</v>
      </c>
    </row>
    <row r="26" spans="1:58" ht="15" thickBot="1">
      <c r="A26" s="59">
        <v>20</v>
      </c>
      <c r="B26" s="103"/>
      <c r="C26" s="104"/>
      <c r="D26" s="105"/>
      <c r="E26" s="104"/>
      <c r="F26" s="106"/>
      <c r="G26" s="107"/>
      <c r="H26" s="105"/>
      <c r="I26" s="105"/>
      <c r="J26" s="105"/>
      <c r="K26" s="105"/>
      <c r="L26" s="105"/>
      <c r="M26" s="105"/>
      <c r="N26" s="105"/>
      <c r="O26" s="105"/>
      <c r="P26" s="105"/>
      <c r="Q26" s="105"/>
      <c r="R26" s="105"/>
      <c r="S26" s="105"/>
      <c r="T26" s="105"/>
      <c r="U26" s="105"/>
      <c r="V26" s="105"/>
      <c r="W26" s="105"/>
      <c r="X26" s="105"/>
      <c r="Y26" s="105"/>
      <c r="Z26" s="105"/>
      <c r="AA26" s="105"/>
      <c r="AB26" s="105"/>
      <c r="AC26" s="105"/>
      <c r="AD26" s="105"/>
      <c r="AE26" s="105"/>
      <c r="AF26" s="105"/>
      <c r="AG26" s="105"/>
      <c r="AH26" s="105"/>
      <c r="AI26" s="105"/>
      <c r="AJ26" s="105"/>
      <c r="AK26" s="105"/>
      <c r="AL26" s="97"/>
      <c r="AM26" s="60">
        <f t="shared" si="27"/>
        <v>0</v>
      </c>
      <c r="AN26" s="61">
        <f t="shared" si="28"/>
        <v>0</v>
      </c>
      <c r="AO26" s="61">
        <f t="shared" si="29"/>
        <v>0</v>
      </c>
      <c r="AP26" s="61"/>
      <c r="AQ26" s="61"/>
      <c r="AR26" s="61"/>
      <c r="AS26" s="61" t="e">
        <f t="shared" si="30"/>
        <v>#VALUE!</v>
      </c>
      <c r="AT26" s="105"/>
      <c r="AU26" s="105"/>
      <c r="AV26" s="61" t="e">
        <f t="shared" si="31"/>
        <v>#VALUE!</v>
      </c>
      <c r="AW26" s="61" t="e">
        <f t="shared" si="32"/>
        <v>#VALUE!</v>
      </c>
      <c r="AX26" s="61" t="e">
        <f t="shared" si="5"/>
        <v>#VALUE!</v>
      </c>
      <c r="AY26" s="61" t="e">
        <f t="shared" si="33"/>
        <v>#VALUE!</v>
      </c>
      <c r="AZ26" s="61" t="e">
        <f t="shared" si="34"/>
        <v>#VALUE!</v>
      </c>
      <c r="BA26" s="61" t="e">
        <f t="shared" si="35"/>
        <v>#VALUE!</v>
      </c>
      <c r="BB26" s="61">
        <f t="shared" si="36"/>
        <v>0</v>
      </c>
      <c r="BC26" s="105"/>
      <c r="BD26" s="62" t="e">
        <f t="shared" si="37"/>
        <v>#VALUE!</v>
      </c>
      <c r="BE26" s="105"/>
      <c r="BF26" s="114" t="s">
        <v>61</v>
      </c>
    </row>
    <row r="27" spans="1:58" ht="15" thickBot="1">
      <c r="A27" s="59">
        <v>21</v>
      </c>
      <c r="B27" s="103"/>
      <c r="C27" s="104"/>
      <c r="D27" s="105"/>
      <c r="E27" s="104"/>
      <c r="F27" s="106"/>
      <c r="G27" s="107"/>
      <c r="H27" s="105"/>
      <c r="I27" s="105"/>
      <c r="J27" s="105"/>
      <c r="K27" s="105"/>
      <c r="L27" s="105"/>
      <c r="M27" s="105"/>
      <c r="N27" s="105"/>
      <c r="O27" s="105"/>
      <c r="P27" s="105"/>
      <c r="Q27" s="105"/>
      <c r="R27" s="105"/>
      <c r="S27" s="105"/>
      <c r="T27" s="105"/>
      <c r="U27" s="105"/>
      <c r="V27" s="105"/>
      <c r="W27" s="105"/>
      <c r="X27" s="105"/>
      <c r="Y27" s="105"/>
      <c r="Z27" s="105"/>
      <c r="AA27" s="105"/>
      <c r="AB27" s="105"/>
      <c r="AC27" s="105"/>
      <c r="AD27" s="105"/>
      <c r="AE27" s="105"/>
      <c r="AF27" s="105"/>
      <c r="AG27" s="105"/>
      <c r="AH27" s="105"/>
      <c r="AI27" s="105"/>
      <c r="AJ27" s="105"/>
      <c r="AK27" s="105"/>
      <c r="AL27" s="97"/>
      <c r="AM27" s="60">
        <f t="shared" si="27"/>
        <v>0</v>
      </c>
      <c r="AN27" s="61">
        <f t="shared" si="28"/>
        <v>0</v>
      </c>
      <c r="AO27" s="61">
        <f t="shared" si="29"/>
        <v>0</v>
      </c>
      <c r="AP27" s="61"/>
      <c r="AQ27" s="61"/>
      <c r="AR27" s="61"/>
      <c r="AS27" s="61" t="e">
        <f t="shared" si="30"/>
        <v>#VALUE!</v>
      </c>
      <c r="AT27" s="105"/>
      <c r="AU27" s="105"/>
      <c r="AV27" s="61" t="e">
        <f t="shared" si="31"/>
        <v>#VALUE!</v>
      </c>
      <c r="AW27" s="61" t="e">
        <f t="shared" si="32"/>
        <v>#VALUE!</v>
      </c>
      <c r="AX27" s="61" t="e">
        <f t="shared" si="5"/>
        <v>#VALUE!</v>
      </c>
      <c r="AY27" s="61" t="e">
        <f t="shared" si="33"/>
        <v>#VALUE!</v>
      </c>
      <c r="AZ27" s="61" t="e">
        <f t="shared" si="34"/>
        <v>#VALUE!</v>
      </c>
      <c r="BA27" s="61" t="e">
        <f t="shared" si="35"/>
        <v>#VALUE!</v>
      </c>
      <c r="BB27" s="61">
        <f t="shared" si="36"/>
        <v>0</v>
      </c>
      <c r="BC27" s="105"/>
      <c r="BD27" s="62" t="e">
        <f t="shared" si="37"/>
        <v>#VALUE!</v>
      </c>
      <c r="BE27" s="105"/>
      <c r="BF27" s="114" t="s">
        <v>61</v>
      </c>
    </row>
    <row r="28" spans="1:58" ht="15" thickBot="1">
      <c r="A28" s="59">
        <v>22</v>
      </c>
      <c r="B28" s="103"/>
      <c r="C28" s="104"/>
      <c r="D28" s="105"/>
      <c r="E28" s="104"/>
      <c r="F28" s="106"/>
      <c r="G28" s="107"/>
      <c r="H28" s="105"/>
      <c r="I28" s="105"/>
      <c r="J28" s="105"/>
      <c r="K28" s="105"/>
      <c r="L28" s="105"/>
      <c r="M28" s="105"/>
      <c r="N28" s="105"/>
      <c r="O28" s="105"/>
      <c r="P28" s="105"/>
      <c r="Q28" s="105"/>
      <c r="R28" s="105"/>
      <c r="S28" s="105"/>
      <c r="T28" s="105"/>
      <c r="U28" s="105"/>
      <c r="V28" s="105"/>
      <c r="W28" s="105"/>
      <c r="X28" s="105"/>
      <c r="Y28" s="105"/>
      <c r="Z28" s="105"/>
      <c r="AA28" s="105"/>
      <c r="AB28" s="105"/>
      <c r="AC28" s="105"/>
      <c r="AD28" s="105"/>
      <c r="AE28" s="105"/>
      <c r="AF28" s="105"/>
      <c r="AG28" s="105"/>
      <c r="AH28" s="105"/>
      <c r="AI28" s="105"/>
      <c r="AJ28" s="105"/>
      <c r="AK28" s="105"/>
      <c r="AL28" s="97"/>
      <c r="AM28" s="60">
        <f t="shared" si="27"/>
        <v>0</v>
      </c>
      <c r="AN28" s="61">
        <f t="shared" si="28"/>
        <v>0</v>
      </c>
      <c r="AO28" s="61">
        <f t="shared" si="29"/>
        <v>0</v>
      </c>
      <c r="AP28" s="61"/>
      <c r="AQ28" s="61"/>
      <c r="AR28" s="61"/>
      <c r="AS28" s="61" t="e">
        <f t="shared" si="30"/>
        <v>#VALUE!</v>
      </c>
      <c r="AT28" s="105"/>
      <c r="AU28" s="105"/>
      <c r="AV28" s="61" t="e">
        <f t="shared" si="31"/>
        <v>#VALUE!</v>
      </c>
      <c r="AW28" s="61" t="e">
        <f t="shared" si="32"/>
        <v>#VALUE!</v>
      </c>
      <c r="AX28" s="61" t="e">
        <f t="shared" si="5"/>
        <v>#VALUE!</v>
      </c>
      <c r="AY28" s="61" t="e">
        <f t="shared" si="33"/>
        <v>#VALUE!</v>
      </c>
      <c r="AZ28" s="61" t="e">
        <f t="shared" si="34"/>
        <v>#VALUE!</v>
      </c>
      <c r="BA28" s="61" t="e">
        <f t="shared" si="35"/>
        <v>#VALUE!</v>
      </c>
      <c r="BB28" s="61">
        <f t="shared" si="36"/>
        <v>0</v>
      </c>
      <c r="BC28" s="105"/>
      <c r="BD28" s="62" t="e">
        <f t="shared" si="37"/>
        <v>#VALUE!</v>
      </c>
      <c r="BE28" s="105"/>
      <c r="BF28" s="114" t="s">
        <v>61</v>
      </c>
    </row>
    <row r="29" spans="1:58" ht="15" thickBot="1">
      <c r="A29" s="59">
        <v>23</v>
      </c>
      <c r="B29" s="103"/>
      <c r="C29" s="104"/>
      <c r="D29" s="105"/>
      <c r="E29" s="104"/>
      <c r="F29" s="106"/>
      <c r="G29" s="107"/>
      <c r="H29" s="105"/>
      <c r="I29" s="105"/>
      <c r="J29" s="105"/>
      <c r="K29" s="105"/>
      <c r="L29" s="105"/>
      <c r="M29" s="105"/>
      <c r="N29" s="105"/>
      <c r="O29" s="105"/>
      <c r="P29" s="105"/>
      <c r="Q29" s="105"/>
      <c r="R29" s="105"/>
      <c r="S29" s="105"/>
      <c r="T29" s="105"/>
      <c r="U29" s="105"/>
      <c r="V29" s="105"/>
      <c r="W29" s="105"/>
      <c r="X29" s="105"/>
      <c r="Y29" s="105"/>
      <c r="Z29" s="105"/>
      <c r="AA29" s="105"/>
      <c r="AB29" s="105"/>
      <c r="AC29" s="105"/>
      <c r="AD29" s="105"/>
      <c r="AE29" s="105"/>
      <c r="AF29" s="105"/>
      <c r="AG29" s="105"/>
      <c r="AH29" s="105"/>
      <c r="AI29" s="105"/>
      <c r="AJ29" s="105"/>
      <c r="AK29" s="105"/>
      <c r="AL29" s="97"/>
      <c r="AM29" s="60">
        <f t="shared" si="27"/>
        <v>0</v>
      </c>
      <c r="AN29" s="61">
        <f t="shared" si="28"/>
        <v>0</v>
      </c>
      <c r="AO29" s="61">
        <f t="shared" si="29"/>
        <v>0</v>
      </c>
      <c r="AP29" s="61"/>
      <c r="AQ29" s="61"/>
      <c r="AR29" s="61"/>
      <c r="AS29" s="61" t="e">
        <f t="shared" si="30"/>
        <v>#VALUE!</v>
      </c>
      <c r="AT29" s="105"/>
      <c r="AU29" s="105"/>
      <c r="AV29" s="61" t="e">
        <f t="shared" si="31"/>
        <v>#VALUE!</v>
      </c>
      <c r="AW29" s="61" t="e">
        <f t="shared" si="32"/>
        <v>#VALUE!</v>
      </c>
      <c r="AX29" s="61" t="e">
        <f t="shared" si="5"/>
        <v>#VALUE!</v>
      </c>
      <c r="AY29" s="61" t="e">
        <f t="shared" si="33"/>
        <v>#VALUE!</v>
      </c>
      <c r="AZ29" s="61" t="e">
        <f t="shared" si="34"/>
        <v>#VALUE!</v>
      </c>
      <c r="BA29" s="61" t="e">
        <f t="shared" si="35"/>
        <v>#VALUE!</v>
      </c>
      <c r="BB29" s="61">
        <f t="shared" si="36"/>
        <v>0</v>
      </c>
      <c r="BC29" s="105"/>
      <c r="BD29" s="62" t="e">
        <f t="shared" si="37"/>
        <v>#VALUE!</v>
      </c>
      <c r="BE29" s="105"/>
      <c r="BF29" s="114" t="s">
        <v>61</v>
      </c>
    </row>
    <row r="30" spans="1:58" ht="15" thickBot="1">
      <c r="A30" s="59">
        <v>24</v>
      </c>
      <c r="B30" s="103"/>
      <c r="C30" s="104"/>
      <c r="D30" s="105"/>
      <c r="E30" s="104"/>
      <c r="F30" s="106"/>
      <c r="G30" s="107"/>
      <c r="H30" s="105"/>
      <c r="I30" s="105"/>
      <c r="J30" s="105"/>
      <c r="K30" s="105"/>
      <c r="L30" s="105"/>
      <c r="M30" s="105"/>
      <c r="N30" s="105"/>
      <c r="O30" s="105"/>
      <c r="P30" s="105"/>
      <c r="Q30" s="105"/>
      <c r="R30" s="105"/>
      <c r="S30" s="105"/>
      <c r="T30" s="105"/>
      <c r="U30" s="105"/>
      <c r="V30" s="105"/>
      <c r="W30" s="105"/>
      <c r="X30" s="105"/>
      <c r="Y30" s="105"/>
      <c r="Z30" s="105"/>
      <c r="AA30" s="105"/>
      <c r="AB30" s="105"/>
      <c r="AC30" s="105"/>
      <c r="AD30" s="105"/>
      <c r="AE30" s="105"/>
      <c r="AF30" s="105"/>
      <c r="AG30" s="105"/>
      <c r="AH30" s="105"/>
      <c r="AI30" s="105"/>
      <c r="AJ30" s="105"/>
      <c r="AK30" s="105"/>
      <c r="AL30" s="97"/>
      <c r="AM30" s="60">
        <f t="shared" si="27"/>
        <v>0</v>
      </c>
      <c r="AN30" s="61">
        <f t="shared" si="28"/>
        <v>0</v>
      </c>
      <c r="AO30" s="61">
        <f t="shared" si="29"/>
        <v>0</v>
      </c>
      <c r="AP30" s="61"/>
      <c r="AQ30" s="61"/>
      <c r="AR30" s="61"/>
      <c r="AS30" s="61" t="e">
        <f t="shared" si="30"/>
        <v>#VALUE!</v>
      </c>
      <c r="AT30" s="105"/>
      <c r="AU30" s="105"/>
      <c r="AV30" s="61" t="e">
        <f t="shared" si="31"/>
        <v>#VALUE!</v>
      </c>
      <c r="AW30" s="61" t="e">
        <f t="shared" si="32"/>
        <v>#VALUE!</v>
      </c>
      <c r="AX30" s="61" t="e">
        <f t="shared" si="5"/>
        <v>#VALUE!</v>
      </c>
      <c r="AY30" s="61" t="e">
        <f t="shared" si="33"/>
        <v>#VALUE!</v>
      </c>
      <c r="AZ30" s="61" t="e">
        <f t="shared" si="34"/>
        <v>#VALUE!</v>
      </c>
      <c r="BA30" s="61" t="e">
        <f t="shared" si="35"/>
        <v>#VALUE!</v>
      </c>
      <c r="BB30" s="61">
        <f t="shared" si="36"/>
        <v>0</v>
      </c>
      <c r="BC30" s="105"/>
      <c r="BD30" s="62" t="e">
        <f t="shared" si="37"/>
        <v>#VALUE!</v>
      </c>
      <c r="BE30" s="105"/>
      <c r="BF30" s="114" t="s">
        <v>61</v>
      </c>
    </row>
    <row r="31" spans="1:58" ht="15" thickBot="1">
      <c r="A31" s="59">
        <v>25</v>
      </c>
      <c r="B31" s="103"/>
      <c r="C31" s="104"/>
      <c r="D31" s="105"/>
      <c r="E31" s="104"/>
      <c r="F31" s="106"/>
      <c r="G31" s="107"/>
      <c r="H31" s="105"/>
      <c r="I31" s="105"/>
      <c r="J31" s="105"/>
      <c r="K31" s="105"/>
      <c r="L31" s="105"/>
      <c r="M31" s="105"/>
      <c r="N31" s="105"/>
      <c r="O31" s="105"/>
      <c r="P31" s="105"/>
      <c r="Q31" s="105"/>
      <c r="R31" s="105"/>
      <c r="S31" s="105"/>
      <c r="T31" s="105"/>
      <c r="U31" s="105"/>
      <c r="V31" s="105"/>
      <c r="W31" s="105"/>
      <c r="X31" s="105"/>
      <c r="Y31" s="105"/>
      <c r="Z31" s="105"/>
      <c r="AA31" s="105"/>
      <c r="AB31" s="105"/>
      <c r="AC31" s="105"/>
      <c r="AD31" s="105"/>
      <c r="AE31" s="105"/>
      <c r="AF31" s="105"/>
      <c r="AG31" s="105"/>
      <c r="AH31" s="105"/>
      <c r="AI31" s="105"/>
      <c r="AJ31" s="105"/>
      <c r="AK31" s="105"/>
      <c r="AL31" s="97"/>
      <c r="AM31" s="60">
        <f t="shared" si="27"/>
        <v>0</v>
      </c>
      <c r="AN31" s="61">
        <f t="shared" si="28"/>
        <v>0</v>
      </c>
      <c r="AO31" s="61">
        <f t="shared" si="29"/>
        <v>0</v>
      </c>
      <c r="AP31" s="61"/>
      <c r="AQ31" s="61"/>
      <c r="AR31" s="61"/>
      <c r="AS31" s="61" t="e">
        <f t="shared" si="30"/>
        <v>#VALUE!</v>
      </c>
      <c r="AT31" s="105"/>
      <c r="AU31" s="105"/>
      <c r="AV31" s="61" t="e">
        <f t="shared" si="31"/>
        <v>#VALUE!</v>
      </c>
      <c r="AW31" s="61" t="e">
        <f t="shared" si="32"/>
        <v>#VALUE!</v>
      </c>
      <c r="AX31" s="61" t="e">
        <f t="shared" si="5"/>
        <v>#VALUE!</v>
      </c>
      <c r="AY31" s="61" t="e">
        <f t="shared" si="33"/>
        <v>#VALUE!</v>
      </c>
      <c r="AZ31" s="61" t="e">
        <f t="shared" si="34"/>
        <v>#VALUE!</v>
      </c>
      <c r="BA31" s="61" t="e">
        <f t="shared" si="35"/>
        <v>#VALUE!</v>
      </c>
      <c r="BB31" s="61">
        <f t="shared" si="36"/>
        <v>0</v>
      </c>
      <c r="BC31" s="105"/>
      <c r="BD31" s="62" t="e">
        <f t="shared" si="37"/>
        <v>#VALUE!</v>
      </c>
      <c r="BE31" s="105"/>
      <c r="BF31" s="114" t="s">
        <v>61</v>
      </c>
    </row>
    <row r="32" spans="1:58" ht="15" thickBot="1">
      <c r="A32" s="59">
        <v>26</v>
      </c>
      <c r="B32" s="103"/>
      <c r="C32" s="104"/>
      <c r="D32" s="105"/>
      <c r="E32" s="104"/>
      <c r="F32" s="106"/>
      <c r="G32" s="107"/>
      <c r="H32" s="105"/>
      <c r="I32" s="105"/>
      <c r="J32" s="105"/>
      <c r="K32" s="105"/>
      <c r="L32" s="105"/>
      <c r="M32" s="105"/>
      <c r="N32" s="105"/>
      <c r="O32" s="105"/>
      <c r="P32" s="105"/>
      <c r="Q32" s="105"/>
      <c r="R32" s="105"/>
      <c r="S32" s="105"/>
      <c r="T32" s="105"/>
      <c r="U32" s="105"/>
      <c r="V32" s="105"/>
      <c r="W32" s="105"/>
      <c r="X32" s="105"/>
      <c r="Y32" s="105"/>
      <c r="Z32" s="105"/>
      <c r="AA32" s="105"/>
      <c r="AB32" s="105"/>
      <c r="AC32" s="105"/>
      <c r="AD32" s="105"/>
      <c r="AE32" s="105"/>
      <c r="AF32" s="105"/>
      <c r="AG32" s="105"/>
      <c r="AH32" s="105"/>
      <c r="AI32" s="105"/>
      <c r="AJ32" s="105"/>
      <c r="AK32" s="105"/>
      <c r="AL32" s="97"/>
      <c r="AM32" s="60">
        <f t="shared" si="27"/>
        <v>0</v>
      </c>
      <c r="AN32" s="61">
        <f t="shared" si="28"/>
        <v>0</v>
      </c>
      <c r="AO32" s="61">
        <f t="shared" si="29"/>
        <v>0</v>
      </c>
      <c r="AP32" s="61"/>
      <c r="AQ32" s="61"/>
      <c r="AR32" s="61"/>
      <c r="AS32" s="61" t="e">
        <f t="shared" si="30"/>
        <v>#VALUE!</v>
      </c>
      <c r="AT32" s="105"/>
      <c r="AU32" s="105"/>
      <c r="AV32" s="61" t="e">
        <f t="shared" si="31"/>
        <v>#VALUE!</v>
      </c>
      <c r="AW32" s="61" t="e">
        <f t="shared" si="32"/>
        <v>#VALUE!</v>
      </c>
      <c r="AX32" s="61" t="e">
        <f t="shared" si="5"/>
        <v>#VALUE!</v>
      </c>
      <c r="AY32" s="61" t="e">
        <f t="shared" si="33"/>
        <v>#VALUE!</v>
      </c>
      <c r="AZ32" s="61" t="e">
        <f t="shared" si="34"/>
        <v>#VALUE!</v>
      </c>
      <c r="BA32" s="61" t="e">
        <f t="shared" si="35"/>
        <v>#VALUE!</v>
      </c>
      <c r="BB32" s="61">
        <f t="shared" si="36"/>
        <v>0</v>
      </c>
      <c r="BC32" s="105"/>
      <c r="BD32" s="62" t="e">
        <f t="shared" si="37"/>
        <v>#VALUE!</v>
      </c>
      <c r="BE32" s="105"/>
      <c r="BF32" s="114" t="s">
        <v>61</v>
      </c>
    </row>
    <row r="33" spans="1:58" ht="15" thickBot="1">
      <c r="A33" s="59">
        <v>27</v>
      </c>
      <c r="B33" s="103"/>
      <c r="C33" s="104"/>
      <c r="D33" s="105"/>
      <c r="E33" s="104"/>
      <c r="F33" s="106"/>
      <c r="G33" s="107"/>
      <c r="H33" s="105"/>
      <c r="I33" s="105"/>
      <c r="J33" s="105"/>
      <c r="K33" s="105"/>
      <c r="L33" s="105"/>
      <c r="M33" s="105"/>
      <c r="N33" s="105"/>
      <c r="O33" s="105"/>
      <c r="P33" s="105"/>
      <c r="Q33" s="105"/>
      <c r="R33" s="105"/>
      <c r="S33" s="105"/>
      <c r="T33" s="105"/>
      <c r="U33" s="105"/>
      <c r="V33" s="105"/>
      <c r="W33" s="105"/>
      <c r="X33" s="105"/>
      <c r="Y33" s="105"/>
      <c r="Z33" s="105"/>
      <c r="AA33" s="105"/>
      <c r="AB33" s="105"/>
      <c r="AC33" s="105"/>
      <c r="AD33" s="105"/>
      <c r="AE33" s="105"/>
      <c r="AF33" s="105"/>
      <c r="AG33" s="105"/>
      <c r="AH33" s="105"/>
      <c r="AI33" s="105"/>
      <c r="AJ33" s="105"/>
      <c r="AK33" s="105"/>
      <c r="AL33" s="97"/>
      <c r="AM33" s="60">
        <f t="shared" si="27"/>
        <v>0</v>
      </c>
      <c r="AN33" s="61">
        <f t="shared" si="28"/>
        <v>0</v>
      </c>
      <c r="AO33" s="61">
        <f t="shared" si="29"/>
        <v>0</v>
      </c>
      <c r="AP33" s="61"/>
      <c r="AQ33" s="61"/>
      <c r="AR33" s="61"/>
      <c r="AS33" s="61" t="e">
        <f t="shared" si="30"/>
        <v>#VALUE!</v>
      </c>
      <c r="AT33" s="105"/>
      <c r="AU33" s="105"/>
      <c r="AV33" s="61" t="e">
        <f t="shared" si="31"/>
        <v>#VALUE!</v>
      </c>
      <c r="AW33" s="61" t="e">
        <f t="shared" si="32"/>
        <v>#VALUE!</v>
      </c>
      <c r="AX33" s="61" t="e">
        <f t="shared" si="5"/>
        <v>#VALUE!</v>
      </c>
      <c r="AY33" s="61" t="e">
        <f t="shared" si="33"/>
        <v>#VALUE!</v>
      </c>
      <c r="AZ33" s="61" t="e">
        <f t="shared" si="34"/>
        <v>#VALUE!</v>
      </c>
      <c r="BA33" s="61" t="e">
        <f t="shared" si="35"/>
        <v>#VALUE!</v>
      </c>
      <c r="BB33" s="61">
        <f t="shared" si="36"/>
        <v>0</v>
      </c>
      <c r="BC33" s="105"/>
      <c r="BD33" s="62" t="e">
        <f t="shared" si="37"/>
        <v>#VALUE!</v>
      </c>
      <c r="BE33" s="105"/>
      <c r="BF33" s="114" t="s">
        <v>61</v>
      </c>
    </row>
    <row r="34" spans="1:58" ht="15" thickBot="1">
      <c r="A34" s="59">
        <v>28</v>
      </c>
      <c r="B34" s="103"/>
      <c r="C34" s="104"/>
      <c r="D34" s="105"/>
      <c r="E34" s="104"/>
      <c r="F34" s="106"/>
      <c r="G34" s="107"/>
      <c r="H34" s="105"/>
      <c r="I34" s="105"/>
      <c r="J34" s="105"/>
      <c r="K34" s="105"/>
      <c r="L34" s="105"/>
      <c r="M34" s="105"/>
      <c r="N34" s="105"/>
      <c r="O34" s="105"/>
      <c r="P34" s="105"/>
      <c r="Q34" s="105"/>
      <c r="R34" s="105"/>
      <c r="S34" s="105"/>
      <c r="T34" s="105"/>
      <c r="U34" s="105"/>
      <c r="V34" s="105"/>
      <c r="W34" s="105"/>
      <c r="X34" s="105"/>
      <c r="Y34" s="105"/>
      <c r="Z34" s="105"/>
      <c r="AA34" s="105"/>
      <c r="AB34" s="105"/>
      <c r="AC34" s="105"/>
      <c r="AD34" s="105"/>
      <c r="AE34" s="105"/>
      <c r="AF34" s="105"/>
      <c r="AG34" s="105"/>
      <c r="AH34" s="105"/>
      <c r="AI34" s="105"/>
      <c r="AJ34" s="105"/>
      <c r="AK34" s="105"/>
      <c r="AL34" s="97"/>
      <c r="AM34" s="60">
        <f t="shared" si="27"/>
        <v>0</v>
      </c>
      <c r="AN34" s="61">
        <f t="shared" si="28"/>
        <v>0</v>
      </c>
      <c r="AO34" s="61">
        <f t="shared" si="29"/>
        <v>0</v>
      </c>
      <c r="AP34" s="61"/>
      <c r="AQ34" s="61"/>
      <c r="AR34" s="61"/>
      <c r="AS34" s="61" t="e">
        <f t="shared" si="30"/>
        <v>#VALUE!</v>
      </c>
      <c r="AT34" s="105"/>
      <c r="AU34" s="105"/>
      <c r="AV34" s="61" t="e">
        <f t="shared" si="31"/>
        <v>#VALUE!</v>
      </c>
      <c r="AW34" s="61" t="e">
        <f t="shared" si="32"/>
        <v>#VALUE!</v>
      </c>
      <c r="AX34" s="61" t="e">
        <f t="shared" si="5"/>
        <v>#VALUE!</v>
      </c>
      <c r="AY34" s="61" t="e">
        <f t="shared" si="33"/>
        <v>#VALUE!</v>
      </c>
      <c r="AZ34" s="61" t="e">
        <f t="shared" si="34"/>
        <v>#VALUE!</v>
      </c>
      <c r="BA34" s="61" t="e">
        <f t="shared" si="35"/>
        <v>#VALUE!</v>
      </c>
      <c r="BB34" s="61">
        <f t="shared" si="36"/>
        <v>0</v>
      </c>
      <c r="BC34" s="105"/>
      <c r="BD34" s="62" t="e">
        <f t="shared" si="37"/>
        <v>#VALUE!</v>
      </c>
      <c r="BE34" s="105"/>
      <c r="BF34" s="114" t="s">
        <v>61</v>
      </c>
    </row>
    <row r="35" spans="1:58" ht="15" thickBot="1">
      <c r="A35" s="59">
        <v>29</v>
      </c>
      <c r="B35" s="103"/>
      <c r="C35" s="104"/>
      <c r="D35" s="105"/>
      <c r="E35" s="104"/>
      <c r="F35" s="106"/>
      <c r="G35" s="107"/>
      <c r="H35" s="105"/>
      <c r="I35" s="105"/>
      <c r="J35" s="105"/>
      <c r="K35" s="105"/>
      <c r="L35" s="105"/>
      <c r="M35" s="105"/>
      <c r="N35" s="105"/>
      <c r="O35" s="105"/>
      <c r="P35" s="105"/>
      <c r="Q35" s="105"/>
      <c r="R35" s="105"/>
      <c r="S35" s="105"/>
      <c r="T35" s="105"/>
      <c r="U35" s="105"/>
      <c r="V35" s="105"/>
      <c r="W35" s="105"/>
      <c r="X35" s="105"/>
      <c r="Y35" s="105"/>
      <c r="Z35" s="105"/>
      <c r="AA35" s="105"/>
      <c r="AB35" s="105"/>
      <c r="AC35" s="105"/>
      <c r="AD35" s="105"/>
      <c r="AE35" s="105"/>
      <c r="AF35" s="105"/>
      <c r="AG35" s="105"/>
      <c r="AH35" s="105"/>
      <c r="AI35" s="105"/>
      <c r="AJ35" s="105"/>
      <c r="AK35" s="105"/>
      <c r="AL35" s="97"/>
      <c r="AM35" s="60">
        <f t="shared" si="27"/>
        <v>0</v>
      </c>
      <c r="AN35" s="61">
        <f t="shared" si="28"/>
        <v>0</v>
      </c>
      <c r="AO35" s="61">
        <f t="shared" si="29"/>
        <v>0</v>
      </c>
      <c r="AP35" s="61"/>
      <c r="AQ35" s="61"/>
      <c r="AR35" s="61"/>
      <c r="AS35" s="61" t="e">
        <f t="shared" si="30"/>
        <v>#VALUE!</v>
      </c>
      <c r="AT35" s="105"/>
      <c r="AU35" s="105"/>
      <c r="AV35" s="61" t="e">
        <f t="shared" si="31"/>
        <v>#VALUE!</v>
      </c>
      <c r="AW35" s="61" t="e">
        <f t="shared" si="32"/>
        <v>#VALUE!</v>
      </c>
      <c r="AX35" s="61" t="e">
        <f t="shared" si="5"/>
        <v>#VALUE!</v>
      </c>
      <c r="AY35" s="61" t="e">
        <f t="shared" si="33"/>
        <v>#VALUE!</v>
      </c>
      <c r="AZ35" s="61" t="e">
        <f t="shared" si="34"/>
        <v>#VALUE!</v>
      </c>
      <c r="BA35" s="61" t="e">
        <f t="shared" si="35"/>
        <v>#VALUE!</v>
      </c>
      <c r="BB35" s="61">
        <f t="shared" si="36"/>
        <v>0</v>
      </c>
      <c r="BC35" s="105"/>
      <c r="BD35" s="62" t="e">
        <f t="shared" si="37"/>
        <v>#VALUE!</v>
      </c>
      <c r="BE35" s="105"/>
      <c r="BF35" s="114" t="s">
        <v>61</v>
      </c>
    </row>
    <row r="36" spans="1:58">
      <c r="A36" s="59">
        <v>30</v>
      </c>
      <c r="B36" s="103"/>
      <c r="C36" s="104"/>
      <c r="D36" s="105"/>
      <c r="E36" s="104"/>
      <c r="F36" s="106"/>
      <c r="G36" s="107"/>
      <c r="H36" s="105"/>
      <c r="I36" s="105"/>
      <c r="J36" s="105"/>
      <c r="K36" s="105"/>
      <c r="L36" s="105"/>
      <c r="M36" s="105"/>
      <c r="N36" s="105"/>
      <c r="O36" s="105"/>
      <c r="P36" s="105"/>
      <c r="Q36" s="105"/>
      <c r="R36" s="105"/>
      <c r="S36" s="105"/>
      <c r="T36" s="105"/>
      <c r="U36" s="105"/>
      <c r="V36" s="105"/>
      <c r="W36" s="105"/>
      <c r="X36" s="105"/>
      <c r="Y36" s="105"/>
      <c r="Z36" s="105"/>
      <c r="AA36" s="105"/>
      <c r="AB36" s="105"/>
      <c r="AC36" s="105"/>
      <c r="AD36" s="105"/>
      <c r="AE36" s="105"/>
      <c r="AF36" s="105"/>
      <c r="AG36" s="105"/>
      <c r="AH36" s="105"/>
      <c r="AI36" s="105"/>
      <c r="AJ36" s="105"/>
      <c r="AK36" s="105"/>
      <c r="AL36" s="97"/>
      <c r="AM36" s="60">
        <f t="shared" si="27"/>
        <v>0</v>
      </c>
      <c r="AN36" s="61">
        <f t="shared" si="28"/>
        <v>0</v>
      </c>
      <c r="AO36" s="61">
        <f t="shared" si="29"/>
        <v>0</v>
      </c>
      <c r="AP36" s="61"/>
      <c r="AQ36" s="61"/>
      <c r="AR36" s="61"/>
      <c r="AS36" s="61" t="e">
        <f t="shared" si="30"/>
        <v>#VALUE!</v>
      </c>
      <c r="AT36" s="105"/>
      <c r="AU36" s="105"/>
      <c r="AV36" s="61" t="e">
        <f t="shared" si="31"/>
        <v>#VALUE!</v>
      </c>
      <c r="AW36" s="61" t="e">
        <f t="shared" si="32"/>
        <v>#VALUE!</v>
      </c>
      <c r="AX36" s="61" t="e">
        <f t="shared" si="5"/>
        <v>#VALUE!</v>
      </c>
      <c r="AY36" s="61" t="e">
        <f t="shared" si="33"/>
        <v>#VALUE!</v>
      </c>
      <c r="AZ36" s="61" t="e">
        <f t="shared" si="34"/>
        <v>#VALUE!</v>
      </c>
      <c r="BA36" s="61" t="e">
        <f t="shared" si="35"/>
        <v>#VALUE!</v>
      </c>
      <c r="BB36" s="61">
        <f t="shared" si="36"/>
        <v>0</v>
      </c>
      <c r="BC36" s="105"/>
      <c r="BD36" s="62" t="e">
        <f t="shared" si="37"/>
        <v>#VALUE!</v>
      </c>
      <c r="BE36" s="105"/>
      <c r="BF36" s="114" t="s">
        <v>61</v>
      </c>
    </row>
    <row r="48" spans="1:58">
      <c r="O48" s="11"/>
      <c r="P48" s="11"/>
      <c r="Q48" s="11"/>
      <c r="R48" s="11"/>
      <c r="S48" s="11"/>
      <c r="T48" s="11"/>
    </row>
    <row r="52" spans="15:17">
      <c r="O52" s="63"/>
    </row>
    <row r="53" spans="15:17">
      <c r="Q53" s="63"/>
    </row>
  </sheetData>
  <sheetProtection algorithmName="SHA-512" hashValue="YWsWA0NN+wKydvyk4BHdc7e5QpEL3z/0zUV9wx2GzKSMgljnc1TuOL0iSViG4WdyflmotdrLgJTwCsr2Syf9iw==" saltValue="/srstfueTnlXlFihb6dKEw==" spinCount="100000" sheet="1" insertRows="0" autoFilter="0"/>
  <autoFilter ref="A5:BF5" xr:uid="{4DC4EC1F-5A98-4CCF-A829-C0217C2F51B7}"/>
  <mergeCells count="2">
    <mergeCell ref="A2:B2"/>
    <mergeCell ref="G2:AL2"/>
  </mergeCells>
  <conditionalFormatting sqref="G5:AL5">
    <cfRule type="containsText" dxfId="7" priority="8" operator="containsText" text="RH">
      <formula>NOT(ISERROR(SEARCH("RH",G5)))</formula>
    </cfRule>
  </conditionalFormatting>
  <conditionalFormatting sqref="G6:AL6">
    <cfRule type="expression" dxfId="6" priority="7">
      <formula>$G$4:$AL$4=""</formula>
    </cfRule>
  </conditionalFormatting>
  <conditionalFormatting sqref="G4:AL4">
    <cfRule type="expression" dxfId="5" priority="6">
      <formula>$G$4:$AL$4&gt;"$D$2"</formula>
    </cfRule>
  </conditionalFormatting>
  <conditionalFormatting sqref="AI4">
    <cfRule type="expression" dxfId="4" priority="5">
      <formula>$AI$4&gt;$D$2</formula>
    </cfRule>
  </conditionalFormatting>
  <conditionalFormatting sqref="AJ4">
    <cfRule type="expression" dxfId="3" priority="4">
      <formula>$AJ$4&gt;$D$2</formula>
    </cfRule>
  </conditionalFormatting>
  <conditionalFormatting sqref="AK4">
    <cfRule type="expression" dxfId="2" priority="3">
      <formula>$AK$4&gt;$D$2</formula>
    </cfRule>
  </conditionalFormatting>
  <conditionalFormatting sqref="AL4">
    <cfRule type="expression" dxfId="1" priority="2">
      <formula>$AL$4&gt;$D$2</formula>
    </cfRule>
  </conditionalFormatting>
  <conditionalFormatting sqref="G7:AL36">
    <cfRule type="expression" dxfId="0" priority="1">
      <formula>$G$4:$AL$4=""</formula>
    </cfRule>
  </conditionalFormatting>
  <dataValidations count="2">
    <dataValidation type="list" allowBlank="1" showInputMessage="1" showErrorMessage="1" sqref="G6:AL36" xr:uid="{30FCB29C-D35A-470D-8531-40EEF12F9B6A}">
      <formula1>Prod_BCSC</formula1>
    </dataValidation>
    <dataValidation type="list" allowBlank="1" showInputMessage="1" showErrorMessage="1" sqref="C2" xr:uid="{D5EAF7FB-A52B-4FEB-A61E-AE74D21DC350}">
      <formula1>CN_Date</formula1>
    </dataValidation>
  </dataValidations>
  <pageMargins left="0.7" right="0.7" top="0.75" bottom="0.75" header="0.3" footer="0.3"/>
  <pageSetup paperSize="9" orientation="portrait" horizontalDpi="1200" verticalDpi="1200" r:id="rId1"/>
  <headerFooter>
    <oddFooter>&amp;C&amp;1#&amp;"Arial"&amp;10&amp;K000000Internal</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BB34"/>
  <sheetViews>
    <sheetView topLeftCell="N25" zoomScale="85" zoomScaleNormal="85" workbookViewId="0">
      <selection activeCell="Z6" sqref="Z6"/>
    </sheetView>
  </sheetViews>
  <sheetFormatPr defaultColWidth="9.109375" defaultRowHeight="14.4"/>
  <cols>
    <col min="1" max="1" width="10.21875" style="8" bestFit="1" customWidth="1"/>
    <col min="2" max="13" width="10.77734375" style="8" bestFit="1" customWidth="1"/>
    <col min="14" max="14" width="10.77734375" style="8" customWidth="1"/>
    <col min="15" max="35" width="10.77734375" style="8" bestFit="1" customWidth="1"/>
    <col min="36" max="36" width="11.21875" style="80" bestFit="1" customWidth="1"/>
    <col min="37" max="37" width="11.33203125" style="81" bestFit="1" customWidth="1"/>
    <col min="38" max="38" width="16.33203125" style="81" bestFit="1" customWidth="1"/>
    <col min="39" max="39" width="10.77734375" style="11" bestFit="1" customWidth="1"/>
    <col min="40" max="62" width="10.77734375" style="8" bestFit="1" customWidth="1"/>
    <col min="63" max="16384" width="9.109375" style="8"/>
  </cols>
  <sheetData>
    <row r="1" spans="1:45">
      <c r="A1" s="64" t="s">
        <v>134</v>
      </c>
      <c r="B1" s="65">
        <v>45292</v>
      </c>
      <c r="C1" s="65">
        <v>45332</v>
      </c>
      <c r="D1" s="65">
        <v>45333</v>
      </c>
      <c r="E1" s="65">
        <v>45334</v>
      </c>
      <c r="F1" s="65">
        <v>45335</v>
      </c>
      <c r="G1" s="65">
        <v>45336</v>
      </c>
      <c r="H1" s="65">
        <v>45386</v>
      </c>
      <c r="I1" s="65">
        <v>45413</v>
      </c>
      <c r="J1" s="65">
        <v>45453</v>
      </c>
      <c r="K1" s="65">
        <v>45552</v>
      </c>
      <c r="L1" s="65">
        <v>45566</v>
      </c>
      <c r="M1" s="65">
        <v>45567</v>
      </c>
      <c r="N1" s="65">
        <v>45568</v>
      </c>
      <c r="O1" s="65">
        <v>45658</v>
      </c>
      <c r="P1" s="65">
        <v>45685</v>
      </c>
      <c r="Q1" s="65">
        <v>45686</v>
      </c>
      <c r="R1" s="65">
        <v>45687</v>
      </c>
      <c r="S1" s="65">
        <v>45688</v>
      </c>
      <c r="T1" s="65">
        <v>45751</v>
      </c>
      <c r="U1" s="65">
        <v>45778</v>
      </c>
      <c r="V1" s="65">
        <v>45779</v>
      </c>
      <c r="W1" s="65">
        <v>45443</v>
      </c>
      <c r="X1" s="65">
        <v>45810</v>
      </c>
      <c r="Y1" s="65">
        <v>45931</v>
      </c>
      <c r="Z1" s="65">
        <v>45932</v>
      </c>
      <c r="AA1" s="65">
        <v>45933</v>
      </c>
      <c r="AB1" s="65">
        <v>45936</v>
      </c>
      <c r="AC1" s="65"/>
      <c r="AD1" s="65"/>
      <c r="AE1" s="65"/>
      <c r="AF1" s="65"/>
      <c r="AG1" s="65"/>
      <c r="AH1" s="65"/>
      <c r="AI1" s="66"/>
      <c r="AJ1" s="68" t="s">
        <v>135</v>
      </c>
      <c r="AK1" s="69" t="s">
        <v>136</v>
      </c>
      <c r="AL1" s="70" t="s">
        <v>137</v>
      </c>
      <c r="AM1" s="71" t="s">
        <v>138</v>
      </c>
      <c r="AN1" s="67" t="s">
        <v>139</v>
      </c>
      <c r="AO1" s="71" t="s">
        <v>140</v>
      </c>
      <c r="AP1" s="67" t="s">
        <v>141</v>
      </c>
      <c r="AQ1" s="71" t="s">
        <v>142</v>
      </c>
      <c r="AR1" s="67" t="s">
        <v>143</v>
      </c>
      <c r="AS1" s="71" t="s">
        <v>143</v>
      </c>
    </row>
    <row r="2" spans="1:45">
      <c r="A2" s="72" t="s">
        <v>144</v>
      </c>
      <c r="B2" s="73" t="s">
        <v>145</v>
      </c>
      <c r="C2" s="73" t="s">
        <v>145</v>
      </c>
      <c r="D2" s="73" t="s">
        <v>145</v>
      </c>
      <c r="E2" s="73" t="s">
        <v>145</v>
      </c>
      <c r="F2" s="120" t="s">
        <v>146</v>
      </c>
      <c r="G2" s="120" t="s">
        <v>146</v>
      </c>
      <c r="H2" s="73" t="s">
        <v>145</v>
      </c>
      <c r="I2" s="73" t="s">
        <v>145</v>
      </c>
      <c r="J2" s="73" t="s">
        <v>145</v>
      </c>
      <c r="K2" s="73" t="s">
        <v>145</v>
      </c>
      <c r="L2" s="73" t="s">
        <v>145</v>
      </c>
      <c r="M2" s="73" t="s">
        <v>145</v>
      </c>
      <c r="N2" s="73" t="s">
        <v>145</v>
      </c>
      <c r="O2" s="73" t="s">
        <v>145</v>
      </c>
      <c r="P2" s="73" t="s">
        <v>145</v>
      </c>
      <c r="Q2" s="73" t="s">
        <v>145</v>
      </c>
      <c r="R2" s="73" t="s">
        <v>145</v>
      </c>
      <c r="S2" s="73" t="s">
        <v>145</v>
      </c>
      <c r="T2" s="73" t="s">
        <v>145</v>
      </c>
      <c r="U2" s="73" t="s">
        <v>145</v>
      </c>
      <c r="V2" s="73" t="s">
        <v>145</v>
      </c>
      <c r="W2" s="73" t="s">
        <v>145</v>
      </c>
      <c r="X2" s="120" t="s">
        <v>146</v>
      </c>
      <c r="Y2" s="73" t="s">
        <v>145</v>
      </c>
      <c r="Z2" s="73" t="s">
        <v>145</v>
      </c>
      <c r="AA2" s="73" t="s">
        <v>145</v>
      </c>
      <c r="AB2" s="73" t="s">
        <v>145</v>
      </c>
      <c r="AC2" s="73"/>
      <c r="AD2" s="73"/>
      <c r="AE2" s="120"/>
      <c r="AF2" s="73"/>
      <c r="AG2" s="120"/>
      <c r="AH2" s="120"/>
      <c r="AI2" s="74"/>
      <c r="AL2" s="77" t="s">
        <v>55</v>
      </c>
      <c r="AM2" s="11">
        <v>2045</v>
      </c>
    </row>
    <row r="3" spans="1:45">
      <c r="AJ3" s="75" t="s">
        <v>65</v>
      </c>
      <c r="AK3" s="76" t="s">
        <v>92</v>
      </c>
      <c r="AL3" s="77" t="s">
        <v>57</v>
      </c>
      <c r="AM3" s="11">
        <v>2045</v>
      </c>
      <c r="AN3" s="8" t="s">
        <v>111</v>
      </c>
      <c r="AO3" s="8" t="s">
        <v>119</v>
      </c>
      <c r="AP3" s="8" t="s">
        <v>119</v>
      </c>
      <c r="AQ3" s="8" t="s">
        <v>119</v>
      </c>
      <c r="AR3" s="8" t="s">
        <v>119</v>
      </c>
      <c r="AS3" s="8" t="s">
        <v>119</v>
      </c>
    </row>
    <row r="4" spans="1:45">
      <c r="AJ4" s="78">
        <v>45292</v>
      </c>
      <c r="AK4" s="79">
        <v>45292</v>
      </c>
      <c r="AL4" s="77" t="s">
        <v>58</v>
      </c>
      <c r="AM4" s="11">
        <v>2045</v>
      </c>
      <c r="AN4" s="8" t="s">
        <v>110</v>
      </c>
      <c r="AO4" s="8" t="s">
        <v>118</v>
      </c>
      <c r="AP4" s="8" t="s">
        <v>118</v>
      </c>
      <c r="AQ4" s="8" t="s">
        <v>118</v>
      </c>
      <c r="AR4" s="8" t="s">
        <v>118</v>
      </c>
      <c r="AS4" s="8" t="s">
        <v>118</v>
      </c>
    </row>
    <row r="5" spans="1:45">
      <c r="AJ5" s="78">
        <v>45323</v>
      </c>
      <c r="AK5" s="79">
        <v>45323</v>
      </c>
      <c r="AL5" s="77" t="s">
        <v>147</v>
      </c>
      <c r="AM5" s="11">
        <v>2543</v>
      </c>
      <c r="AN5" s="8" t="s">
        <v>112</v>
      </c>
      <c r="AO5" s="8" t="s">
        <v>117</v>
      </c>
      <c r="AP5" s="8" t="s">
        <v>117</v>
      </c>
      <c r="AQ5" s="8" t="s">
        <v>117</v>
      </c>
      <c r="AR5" s="8" t="s">
        <v>117</v>
      </c>
      <c r="AS5" s="8" t="s">
        <v>117</v>
      </c>
    </row>
    <row r="6" spans="1:45">
      <c r="AJ6" s="78">
        <v>45352</v>
      </c>
      <c r="AK6" s="79">
        <v>45352</v>
      </c>
      <c r="AL6" s="77" t="s">
        <v>59</v>
      </c>
      <c r="AM6" s="11">
        <v>2045</v>
      </c>
      <c r="AQ6" s="8" t="s">
        <v>129</v>
      </c>
    </row>
    <row r="7" spans="1:45">
      <c r="AJ7" s="78">
        <v>45383</v>
      </c>
      <c r="AK7" s="79">
        <v>45383</v>
      </c>
      <c r="AL7" s="77" t="s">
        <v>148</v>
      </c>
      <c r="AM7" s="11">
        <v>2045</v>
      </c>
      <c r="AQ7" s="8" t="s">
        <v>130</v>
      </c>
    </row>
    <row r="8" spans="1:45">
      <c r="AJ8" s="78">
        <v>45413</v>
      </c>
      <c r="AK8" s="79">
        <v>45413</v>
      </c>
      <c r="AL8" s="77" t="s">
        <v>62</v>
      </c>
      <c r="AM8" s="11">
        <v>2447</v>
      </c>
      <c r="AQ8" s="8" t="s">
        <v>131</v>
      </c>
    </row>
    <row r="9" spans="1:45">
      <c r="AJ9" s="78">
        <v>45444</v>
      </c>
      <c r="AK9" s="79">
        <v>45444</v>
      </c>
      <c r="AL9" s="77" t="s">
        <v>149</v>
      </c>
      <c r="AM9" s="11">
        <v>2045</v>
      </c>
    </row>
    <row r="10" spans="1:45">
      <c r="AJ10" s="78">
        <v>45474</v>
      </c>
      <c r="AK10" s="79">
        <v>45474</v>
      </c>
      <c r="AL10" s="76" t="s">
        <v>159</v>
      </c>
      <c r="AM10" s="11">
        <v>2045</v>
      </c>
    </row>
    <row r="11" spans="1:45">
      <c r="AJ11" s="78">
        <v>45505</v>
      </c>
      <c r="AK11" s="79">
        <v>45505</v>
      </c>
      <c r="AL11" s="76"/>
    </row>
    <row r="12" spans="1:45">
      <c r="AJ12" s="78">
        <v>45536</v>
      </c>
      <c r="AK12" s="79">
        <v>45536</v>
      </c>
      <c r="AL12" s="76"/>
    </row>
    <row r="13" spans="1:45">
      <c r="AJ13" s="78">
        <v>45566</v>
      </c>
      <c r="AK13" s="79">
        <v>45566</v>
      </c>
      <c r="AL13" s="76"/>
    </row>
    <row r="14" spans="1:45">
      <c r="AJ14" s="78">
        <v>45597</v>
      </c>
      <c r="AK14" s="79">
        <v>45597</v>
      </c>
      <c r="AL14" s="76"/>
    </row>
    <row r="15" spans="1:45">
      <c r="AJ15" s="78">
        <v>45627</v>
      </c>
      <c r="AK15" s="79">
        <v>45627</v>
      </c>
    </row>
    <row r="16" spans="1:45">
      <c r="AJ16" s="78">
        <v>45658</v>
      </c>
      <c r="AK16" s="79">
        <v>45658</v>
      </c>
    </row>
    <row r="17" spans="1:37">
      <c r="AJ17" s="78">
        <v>45689</v>
      </c>
      <c r="AK17" s="79">
        <v>45689</v>
      </c>
    </row>
    <row r="18" spans="1:37">
      <c r="AJ18" s="78">
        <v>45717</v>
      </c>
      <c r="AK18" s="79">
        <v>45717</v>
      </c>
    </row>
    <row r="19" spans="1:37">
      <c r="AJ19" s="78">
        <v>45748</v>
      </c>
      <c r="AK19" s="79">
        <v>45748</v>
      </c>
    </row>
    <row r="20" spans="1:37">
      <c r="AJ20" s="78">
        <v>45778</v>
      </c>
      <c r="AK20" s="79">
        <v>45778</v>
      </c>
    </row>
    <row r="21" spans="1:37">
      <c r="AJ21" s="78">
        <v>45809</v>
      </c>
      <c r="AK21" s="79">
        <v>45809</v>
      </c>
    </row>
    <row r="22" spans="1:37">
      <c r="AJ22" s="78">
        <v>45839</v>
      </c>
      <c r="AK22" s="79">
        <v>45839</v>
      </c>
    </row>
    <row r="23" spans="1:37">
      <c r="AJ23" s="78">
        <v>45870</v>
      </c>
      <c r="AK23" s="79">
        <v>45870</v>
      </c>
    </row>
    <row r="24" spans="1:37">
      <c r="AJ24" s="78">
        <v>45901</v>
      </c>
      <c r="AK24" s="79">
        <v>45901</v>
      </c>
    </row>
    <row r="25" spans="1:37">
      <c r="AJ25" s="78">
        <v>45931</v>
      </c>
      <c r="AK25" s="79">
        <v>45931</v>
      </c>
    </row>
    <row r="26" spans="1:37">
      <c r="AJ26" s="78">
        <v>45962</v>
      </c>
      <c r="AK26" s="79">
        <v>45962</v>
      </c>
    </row>
    <row r="27" spans="1:37">
      <c r="AJ27" s="78">
        <v>45992</v>
      </c>
      <c r="AK27" s="79">
        <v>45992</v>
      </c>
    </row>
    <row r="32" spans="1:37">
      <c r="A32" s="8" t="s">
        <v>154</v>
      </c>
    </row>
    <row r="33" spans="1:54" ht="15" customHeight="1">
      <c r="A33" s="64" t="s">
        <v>134</v>
      </c>
      <c r="B33" s="65">
        <v>45292</v>
      </c>
      <c r="C33" s="65">
        <v>45326</v>
      </c>
      <c r="D33" s="65">
        <v>45332</v>
      </c>
      <c r="E33" s="65">
        <v>45333</v>
      </c>
      <c r="F33" s="65">
        <v>45334</v>
      </c>
      <c r="G33" s="65">
        <v>45335</v>
      </c>
      <c r="H33" s="65">
        <v>45336</v>
      </c>
      <c r="I33" s="65">
        <v>45337</v>
      </c>
      <c r="J33" s="65">
        <v>45338</v>
      </c>
      <c r="K33" s="65">
        <v>45340</v>
      </c>
      <c r="L33" s="65">
        <v>45386</v>
      </c>
      <c r="M33" s="65">
        <v>45387</v>
      </c>
      <c r="N33" s="65">
        <v>45389</v>
      </c>
      <c r="O33" s="65">
        <v>45410</v>
      </c>
      <c r="P33" s="65">
        <v>45413</v>
      </c>
      <c r="Q33" s="65">
        <v>45414</v>
      </c>
      <c r="R33" s="65">
        <v>45415</v>
      </c>
      <c r="S33" s="65">
        <v>45423</v>
      </c>
      <c r="T33" s="65">
        <v>45453</v>
      </c>
      <c r="U33" s="65">
        <v>45549</v>
      </c>
      <c r="V33" s="65">
        <v>45551</v>
      </c>
      <c r="W33" s="65">
        <v>45552</v>
      </c>
      <c r="X33" s="65">
        <v>45564</v>
      </c>
      <c r="Y33" s="65">
        <v>45566</v>
      </c>
      <c r="Z33" s="65">
        <v>45567</v>
      </c>
      <c r="AA33" s="65">
        <v>45568</v>
      </c>
      <c r="AB33" s="65">
        <v>45569</v>
      </c>
      <c r="AC33" s="65">
        <v>45572</v>
      </c>
      <c r="AD33" s="65">
        <v>45577</v>
      </c>
      <c r="AE33" s="146">
        <v>45658</v>
      </c>
      <c r="AF33" s="146">
        <v>45683</v>
      </c>
      <c r="AG33" s="65">
        <v>45685</v>
      </c>
      <c r="AH33" s="65">
        <v>45686</v>
      </c>
      <c r="AI33" s="65">
        <v>45687</v>
      </c>
      <c r="AJ33" s="65">
        <v>45688</v>
      </c>
      <c r="AK33" s="65">
        <v>45691</v>
      </c>
      <c r="AL33" s="65">
        <v>45692</v>
      </c>
      <c r="AM33" s="65">
        <v>45696</v>
      </c>
      <c r="AN33" s="65">
        <v>45751</v>
      </c>
      <c r="AO33" s="65">
        <v>45774</v>
      </c>
      <c r="AP33" s="65">
        <v>45778</v>
      </c>
      <c r="AQ33" s="65">
        <v>45779</v>
      </c>
      <c r="AR33" s="65">
        <v>45782</v>
      </c>
      <c r="AS33" s="65">
        <v>45808</v>
      </c>
      <c r="AT33" s="65">
        <v>45810</v>
      </c>
      <c r="AU33" s="65">
        <v>45928</v>
      </c>
      <c r="AV33" s="65">
        <v>45931</v>
      </c>
      <c r="AW33" s="65">
        <v>45932</v>
      </c>
      <c r="AX33" s="65">
        <v>45933</v>
      </c>
      <c r="AY33" s="65">
        <v>45936</v>
      </c>
      <c r="AZ33" s="65">
        <v>45937</v>
      </c>
      <c r="BA33" s="65">
        <v>45938</v>
      </c>
      <c r="BB33" s="65">
        <v>45941</v>
      </c>
    </row>
    <row r="34" spans="1:54">
      <c r="A34" s="72" t="s">
        <v>144</v>
      </c>
      <c r="B34" s="141" t="s">
        <v>145</v>
      </c>
      <c r="C34" s="144" t="s">
        <v>152</v>
      </c>
      <c r="D34" s="141" t="s">
        <v>145</v>
      </c>
      <c r="E34" s="141" t="s">
        <v>145</v>
      </c>
      <c r="F34" s="141" t="s">
        <v>145</v>
      </c>
      <c r="G34" s="142" t="s">
        <v>146</v>
      </c>
      <c r="H34" s="142" t="s">
        <v>146</v>
      </c>
      <c r="I34" s="143" t="s">
        <v>153</v>
      </c>
      <c r="J34" s="143" t="s">
        <v>153</v>
      </c>
      <c r="K34" s="144" t="s">
        <v>152</v>
      </c>
      <c r="L34" s="141" t="s">
        <v>145</v>
      </c>
      <c r="M34" s="143" t="s">
        <v>153</v>
      </c>
      <c r="N34" s="144" t="s">
        <v>152</v>
      </c>
      <c r="O34" s="144" t="s">
        <v>152</v>
      </c>
      <c r="P34" s="141" t="s">
        <v>145</v>
      </c>
      <c r="Q34" s="143" t="s">
        <v>153</v>
      </c>
      <c r="R34" s="143" t="s">
        <v>153</v>
      </c>
      <c r="S34" s="144" t="s">
        <v>152</v>
      </c>
      <c r="T34" s="141" t="s">
        <v>145</v>
      </c>
      <c r="U34" s="144" t="s">
        <v>152</v>
      </c>
      <c r="V34" s="143" t="s">
        <v>153</v>
      </c>
      <c r="W34" s="141" t="s">
        <v>145</v>
      </c>
      <c r="X34" s="144" t="s">
        <v>152</v>
      </c>
      <c r="Y34" s="141" t="s">
        <v>145</v>
      </c>
      <c r="Z34" s="141" t="s">
        <v>145</v>
      </c>
      <c r="AA34" s="141" t="s">
        <v>145</v>
      </c>
      <c r="AB34" s="143" t="s">
        <v>153</v>
      </c>
      <c r="AC34" s="143" t="s">
        <v>153</v>
      </c>
      <c r="AD34" s="144" t="s">
        <v>152</v>
      </c>
      <c r="AE34" s="141" t="s">
        <v>145</v>
      </c>
      <c r="AF34" s="144" t="s">
        <v>152</v>
      </c>
      <c r="AG34" s="141" t="s">
        <v>145</v>
      </c>
      <c r="AH34" s="141" t="s">
        <v>145</v>
      </c>
      <c r="AI34" s="141" t="s">
        <v>145</v>
      </c>
      <c r="AJ34" s="141" t="s">
        <v>145</v>
      </c>
      <c r="AK34" s="143" t="s">
        <v>153</v>
      </c>
      <c r="AL34" s="143" t="s">
        <v>153</v>
      </c>
      <c r="AM34" s="144" t="s">
        <v>152</v>
      </c>
      <c r="AN34" s="141" t="s">
        <v>145</v>
      </c>
      <c r="AO34" s="144" t="s">
        <v>152</v>
      </c>
      <c r="AP34" s="141" t="s">
        <v>145</v>
      </c>
      <c r="AQ34" s="141" t="s">
        <v>145</v>
      </c>
      <c r="AR34" s="143" t="s">
        <v>153</v>
      </c>
      <c r="AS34" s="141" t="s">
        <v>145</v>
      </c>
      <c r="AT34" s="145" t="s">
        <v>146</v>
      </c>
      <c r="AU34" s="143" t="s">
        <v>152</v>
      </c>
      <c r="AV34" s="141" t="s">
        <v>145</v>
      </c>
      <c r="AW34" s="141" t="s">
        <v>145</v>
      </c>
      <c r="AX34" s="141" t="s">
        <v>145</v>
      </c>
      <c r="AY34" s="141" t="s">
        <v>145</v>
      </c>
      <c r="AZ34" s="143" t="s">
        <v>153</v>
      </c>
      <c r="BA34" s="143" t="s">
        <v>153</v>
      </c>
      <c r="BB34" s="144" t="s">
        <v>152</v>
      </c>
    </row>
  </sheetData>
  <phoneticPr fontId="0" type="noConversion"/>
  <pageMargins left="0.75" right="0.75" top="1" bottom="1" header="0.5" footer="0.5"/>
  <pageSetup paperSize="9" orientation="portrait" horizontalDpi="1200" verticalDpi="1200" r:id="rId1"/>
  <headerFooter alignWithMargins="0">
    <oddFooter>&amp;C&amp;1#&amp;"Arial"&amp;10&amp;K000000Internal</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5CCC8DBA2E949469F49E3EB6684D6F5" ma:contentTypeVersion="19" ma:contentTypeDescription="Create a new document." ma:contentTypeScope="" ma:versionID="ec202db5104c0c753be168fada28d5d7">
  <xsd:schema xmlns:xsd="http://www.w3.org/2001/XMLSchema" xmlns:xs="http://www.w3.org/2001/XMLSchema" xmlns:p="http://schemas.microsoft.com/office/2006/metadata/properties" xmlns:ns2="b4d3bfe4-4e5e-42ce-92c3-e8c2835bf562" xmlns:ns3="b91c0e85-f9a6-4a00-bb89-3fe00aef5d68" xmlns:ns4="18722790-98c0-4153-a850-4272076f1aa8" targetNamespace="http://schemas.microsoft.com/office/2006/metadata/properties" ma:root="true" ma:fieldsID="327f04abaa323ce81aee431e2c5372ee" ns2:_="" ns3:_="" ns4:_="">
    <xsd:import namespace="b4d3bfe4-4e5e-42ce-92c3-e8c2835bf562"/>
    <xsd:import namespace="b91c0e85-f9a6-4a00-bb89-3fe00aef5d68"/>
    <xsd:import namespace="18722790-98c0-4153-a850-4272076f1aa8"/>
    <xsd:element name="properties">
      <xsd:complexType>
        <xsd:sequence>
          <xsd:element name="documentManagement">
            <xsd:complexType>
              <xsd:all>
                <xsd:element ref="ns2:SharedWithUsers" minOccurs="0"/>
                <xsd:element ref="ns2:SharedWithDetails" minOccurs="0"/>
                <xsd:element ref="ns3:LastSharedByUser" minOccurs="0"/>
                <xsd:element ref="ns3:LastSharedByTime" minOccurs="0"/>
                <xsd:element ref="ns4:MediaServiceMetadata" minOccurs="0"/>
                <xsd:element ref="ns4:MediaServiceFastMetadata" minOccurs="0"/>
                <xsd:element ref="ns4:MediaServiceDateTaken" minOccurs="0"/>
                <xsd:element ref="ns4:MediaServiceAutoTags" minOccurs="0"/>
                <xsd:element ref="ns4:MediaServiceOCR" minOccurs="0"/>
                <xsd:element ref="ns4:MediaServiceAutoKeyPoints" minOccurs="0"/>
                <xsd:element ref="ns4:MediaServiceKeyPoints" minOccurs="0"/>
                <xsd:element ref="ns4:MediaServiceGenerationTime" minOccurs="0"/>
                <xsd:element ref="ns4:MediaServiceEventHashCode" minOccurs="0"/>
                <xsd:element ref="ns4:MediaLengthInSeconds" minOccurs="0"/>
                <xsd:element ref="ns4:lcf76f155ced4ddcb4097134ff3c332f" minOccurs="0"/>
                <xsd:element ref="ns2:TaxCatchAll" minOccurs="0"/>
                <xsd:element ref="ns4:MediaServiceObjectDetectorVersions" minOccurs="0"/>
                <xsd:element ref="ns4: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4d3bfe4-4e5e-42ce-92c3-e8c2835bf562"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element name="TaxCatchAll" ma:index="24" nillable="true" ma:displayName="Taxonomy Catch All Column" ma:hidden="true" ma:list="{c975d567-346d-405a-89aa-9331d2384c58}" ma:internalName="TaxCatchAll" ma:showField="CatchAllData" ma:web="b4d3bfe4-4e5e-42ce-92c3-e8c2835bf562">
      <xsd:complexType>
        <xsd:complexContent>
          <xsd:extension base="dms:MultiChoiceLookup">
            <xsd:sequence>
              <xsd:element name="Value" type="dms:Lookup" maxOccurs="unbounded" minOccurs="0" nillable="true"/>
            </xsd:sequence>
          </xsd:extension>
        </xsd:complexContent>
      </xsd:complexType>
    </xsd:element>
  </xsd:schema>
  <xsd:schema xmlns:xsd="http://www.w3.org/2001/XMLSchema" xmlns:xs="http://www.w3.org/2001/XMLSchema" xmlns:dms="http://schemas.microsoft.com/office/2006/documentManagement/types" xmlns:pc="http://schemas.microsoft.com/office/infopath/2007/PartnerControls" targetNamespace="b91c0e85-f9a6-4a00-bb89-3fe00aef5d68" elementFormDefault="qualified">
    <xsd:import namespace="http://schemas.microsoft.com/office/2006/documentManagement/types"/>
    <xsd:import namespace="http://schemas.microsoft.com/office/infopath/2007/PartnerControls"/>
    <xsd:element name="LastSharedByUser" ma:index="10" nillable="true" ma:displayName="Last Shared By User" ma:description="" ma:internalName="LastSharedByUser" ma:readOnly="true">
      <xsd:simpleType>
        <xsd:restriction base="dms:Note">
          <xsd:maxLength value="255"/>
        </xsd:restriction>
      </xsd:simpleType>
    </xsd:element>
    <xsd:element name="LastSharedByTime" ma:index="11" nillable="true" ma:displayName="Last Shared By Tim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18722790-98c0-4153-a850-4272076f1aa8"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Tags" ma:index="15" nillable="true" ma:displayName="MediaServiceAutoTags" ma:internalName="MediaServiceAutoTags" ma:readOnly="true">
      <xsd:simpleType>
        <xsd:restriction base="dms:Text"/>
      </xsd:simpleType>
    </xsd:element>
    <xsd:element name="MediaServiceOCR" ma:index="16" nillable="true" ma:displayName="MediaServiceOCR" ma:internalName="MediaServiceOCR" ma:readOnly="true">
      <xsd:simpleType>
        <xsd:restriction base="dms:Note">
          <xsd:maxLength value="255"/>
        </xsd:restriction>
      </xsd:simpleType>
    </xsd:element>
    <xsd:element name="MediaServiceAutoKeyPoints" ma:index="17" nillable="true" ma:displayName="MediaServiceAutoKeyPoints" ma:hidden="true" ma:internalName="MediaServiceAutoKeyPoints" ma:readOnly="true">
      <xsd:simpleType>
        <xsd:restriction base="dms:Note"/>
      </xsd:simpleType>
    </xsd:element>
    <xsd:element name="MediaServiceKeyPoints" ma:index="18" nillable="true" ma:displayName="KeyPoints" ma:internalName="MediaServiceKeyPoints" ma:readOnly="true">
      <xsd:simpleType>
        <xsd:restriction base="dms:Note">
          <xsd:maxLength value="255"/>
        </xsd:restriction>
      </xsd:simpleType>
    </xsd:element>
    <xsd:element name="MediaServiceGenerationTime" ma:index="19" nillable="true" ma:displayName="MediaServiceGenerationTime" ma:hidden="true" ma:internalName="MediaServiceGenerationTime" ma:readOnly="true">
      <xsd:simpleType>
        <xsd:restriction base="dms:Text"/>
      </xsd:simpleType>
    </xsd:element>
    <xsd:element name="MediaServiceEventHashCode" ma:index="20" nillable="true" ma:displayName="MediaServiceEventHashCode" ma:hidden="true" ma:internalName="MediaServiceEventHashCode" ma:readOnly="true">
      <xsd:simpleType>
        <xsd:restriction base="dms:Text"/>
      </xsd:simpleType>
    </xsd:element>
    <xsd:element name="MediaLengthInSeconds" ma:index="21" nillable="true" ma:displayName="Length (seconds)" ma:internalName="MediaLengthInSeconds" ma:readOnly="true">
      <xsd:simpleType>
        <xsd:restriction base="dms:Unknown"/>
      </xsd:simpleType>
    </xsd:element>
    <xsd:element name="lcf76f155ced4ddcb4097134ff3c332f" ma:index="23" nillable="true" ma:taxonomy="true" ma:internalName="lcf76f155ced4ddcb4097134ff3c332f" ma:taxonomyFieldName="MediaServiceImageTags" ma:displayName="Image Tags" ma:readOnly="false" ma:fieldId="{5cf76f15-5ced-4ddc-b409-7134ff3c332f}" ma:taxonomyMulti="true" ma:sspId="04f2cd92-8d93-4e4c-83d3-86703d91558f"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5" nillable="true" ma:displayName="MediaServiceObjectDetectorVersions"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18722790-98c0-4153-a850-4272076f1aa8">
      <Terms xmlns="http://schemas.microsoft.com/office/infopath/2007/PartnerControls"/>
    </lcf76f155ced4ddcb4097134ff3c332f>
    <TaxCatchAll xmlns="b4d3bfe4-4e5e-42ce-92c3-e8c2835bf562"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3E4478C9-3EF1-4F2D-96B8-CB1AD419EC5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4d3bfe4-4e5e-42ce-92c3-e8c2835bf562"/>
    <ds:schemaRef ds:uri="b91c0e85-f9a6-4a00-bb89-3fe00aef5d68"/>
    <ds:schemaRef ds:uri="18722790-98c0-4153-a850-4272076f1aa8"/>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8DCBDC78-F61B-4DCE-B4DD-2B1DD2D38D22}">
  <ds:schemaRefs>
    <ds:schemaRef ds:uri="http://purl.org/dc/terms/"/>
    <ds:schemaRef ds:uri="b91c0e85-f9a6-4a00-bb89-3fe00aef5d68"/>
    <ds:schemaRef ds:uri="18722790-98c0-4153-a850-4272076f1aa8"/>
    <ds:schemaRef ds:uri="http://schemas.microsoft.com/office/2006/documentManagement/types"/>
    <ds:schemaRef ds:uri="http://purl.org/dc/elements/1.1/"/>
    <ds:schemaRef ds:uri="b4d3bfe4-4e5e-42ce-92c3-e8c2835bf562"/>
    <ds:schemaRef ds:uri="http://schemas.microsoft.com/office/2006/metadata/properties"/>
    <ds:schemaRef ds:uri="http://schemas.openxmlformats.org/package/2006/metadata/core-properties"/>
    <ds:schemaRef ds:uri="http://schemas.microsoft.com/office/infopath/2007/PartnerControls"/>
    <ds:schemaRef ds:uri="http://www.w3.org/XML/1998/namespace"/>
    <ds:schemaRef ds:uri="http://purl.org/dc/dcmitype/"/>
  </ds:schemaRefs>
</ds:datastoreItem>
</file>

<file path=customXml/itemProps3.xml><?xml version="1.0" encoding="utf-8"?>
<ds:datastoreItem xmlns:ds="http://schemas.openxmlformats.org/officeDocument/2006/customXml" ds:itemID="{577F95C2-0B80-4CFF-85E1-C88ED69E19D1}">
  <ds:schemaRefs>
    <ds:schemaRef ds:uri="http://schemas.microsoft.com/sharepoint/v3/contenttype/forms"/>
  </ds:schemaRefs>
</ds:datastoreItem>
</file>

<file path=docMetadata/LabelInfo.xml><?xml version="1.0" encoding="utf-8"?>
<clbl:labelList xmlns:clbl="http://schemas.microsoft.com/office/2020/mipLabelMetadata">
  <clbl:label id="{c8c00982-80e1-41e6-a03a-12f4ca954faf}" enabled="1" method="Privileged" siteId="{ecaa386b-c8df-4ce0-ad01-740cbdb5ba55}"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8</vt:i4>
      </vt:variant>
    </vt:vector>
  </HeadingPairs>
  <TitlesOfParts>
    <vt:vector size="12" baseType="lpstr">
      <vt:lpstr>填表说明 Form Guideline</vt:lpstr>
      <vt:lpstr>Menu</vt:lpstr>
      <vt:lpstr>Office</vt:lpstr>
      <vt:lpstr>Reference</vt:lpstr>
      <vt:lpstr>CN_Date</vt:lpstr>
      <vt:lpstr>EN_Date</vt:lpstr>
      <vt:lpstr>Prod_BACC</vt:lpstr>
      <vt:lpstr>Prod_BACH</vt:lpstr>
      <vt:lpstr>Prod_BAPS</vt:lpstr>
      <vt:lpstr>Prod_BCSC</vt:lpstr>
      <vt:lpstr>Prod_BIG</vt:lpstr>
      <vt:lpstr>Prod_BPCC</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SAP WebAS</dc:creator>
  <cp:keywords/>
  <dc:description/>
  <cp:lastModifiedBy>chean-ni.phi@basf.com</cp:lastModifiedBy>
  <cp:revision>1</cp:revision>
  <dcterms:created xsi:type="dcterms:W3CDTF">2018-08-17T05:05:04Z</dcterms:created>
  <dcterms:modified xsi:type="dcterms:W3CDTF">2024-12-30T04:38:23Z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0x010100C5CCC8DBA2E949469F49E3EB6684D6F5</vt:lpwstr>
  </property>
  <property fmtid="{D5CDD505-2E9C-101B-9397-08002B2CF9AE}" pid="3" name="MSIP_Label_c8c00982-80e1-41e6-a03a-12f4ca954faf_Enabled">
    <vt:lpwstr>True</vt:lpwstr>
  </property>
  <property fmtid="{D5CDD505-2E9C-101B-9397-08002B2CF9AE}" pid="4" name="MSIP_Label_c8c00982-80e1-41e6-a03a-12f4ca954faf_SiteId">
    <vt:lpwstr>ecaa386b-c8df-4ce0-ad01-740cbdb5ba55</vt:lpwstr>
  </property>
  <property fmtid="{D5CDD505-2E9C-101B-9397-08002B2CF9AE}" pid="5" name="MSIP_Label_c8c00982-80e1-41e6-a03a-12f4ca954faf_Owner">
    <vt:lpwstr>HowKY@basfad.basf.net</vt:lpwstr>
  </property>
  <property fmtid="{D5CDD505-2E9C-101B-9397-08002B2CF9AE}" pid="6" name="MSIP_Label_c8c00982-80e1-41e6-a03a-12f4ca954faf_SetDate">
    <vt:lpwstr>2020-12-31T03:02:09.3211136Z</vt:lpwstr>
  </property>
  <property fmtid="{D5CDD505-2E9C-101B-9397-08002B2CF9AE}" pid="7" name="MSIP_Label_c8c00982-80e1-41e6-a03a-12f4ca954faf_Name">
    <vt:lpwstr>Internal</vt:lpwstr>
  </property>
  <property fmtid="{D5CDD505-2E9C-101B-9397-08002B2CF9AE}" pid="8" name="MSIP_Label_c8c00982-80e1-41e6-a03a-12f4ca954faf_Application">
    <vt:lpwstr>Microsoft Azure Information Protection</vt:lpwstr>
  </property>
  <property fmtid="{D5CDD505-2E9C-101B-9397-08002B2CF9AE}" pid="9" name="MSIP_Label_c8c00982-80e1-41e6-a03a-12f4ca954faf_ActionId">
    <vt:lpwstr>775f3cf9-bbb2-4173-9ad6-f313f8413557</vt:lpwstr>
  </property>
  <property fmtid="{D5CDD505-2E9C-101B-9397-08002B2CF9AE}" pid="10" name="MSIP_Label_c8c00982-80e1-41e6-a03a-12f4ca954faf_Extended_MSFT_Method">
    <vt:lpwstr>Automatic</vt:lpwstr>
  </property>
  <property fmtid="{D5CDD505-2E9C-101B-9397-08002B2CF9AE}" pid="11" name="MediaServiceImageTags">
    <vt:lpwstr/>
  </property>
  <property fmtid="{D5CDD505-2E9C-101B-9397-08002B2CF9AE}" pid="12" name="MSIP_Label_06530cf4-8573-4c29-a912-bbcdac835909_Enabled">
    <vt:lpwstr>true</vt:lpwstr>
  </property>
  <property fmtid="{D5CDD505-2E9C-101B-9397-08002B2CF9AE}" pid="13" name="MSIP_Label_06530cf4-8573-4c29-a912-bbcdac835909_SetDate">
    <vt:lpwstr>2024-01-04T01:37:06Z</vt:lpwstr>
  </property>
  <property fmtid="{D5CDD505-2E9C-101B-9397-08002B2CF9AE}" pid="14" name="MSIP_Label_06530cf4-8573-4c29-a912-bbcdac835909_Method">
    <vt:lpwstr>Standard</vt:lpwstr>
  </property>
  <property fmtid="{D5CDD505-2E9C-101B-9397-08002B2CF9AE}" pid="15" name="MSIP_Label_06530cf4-8573-4c29-a912-bbcdac835909_Name">
    <vt:lpwstr>06530cf4-8573-4c29-a912-bbcdac835909</vt:lpwstr>
  </property>
  <property fmtid="{D5CDD505-2E9C-101B-9397-08002B2CF9AE}" pid="16" name="MSIP_Label_06530cf4-8573-4c29-a912-bbcdac835909_SiteId">
    <vt:lpwstr>ecaa386b-c8df-4ce0-ad01-740cbdb5ba55</vt:lpwstr>
  </property>
  <property fmtid="{D5CDD505-2E9C-101B-9397-08002B2CF9AE}" pid="17" name="MSIP_Label_06530cf4-8573-4c29-a912-bbcdac835909_ActionId">
    <vt:lpwstr>1507fc11-eff8-45bd-8d29-75275feab136</vt:lpwstr>
  </property>
  <property fmtid="{D5CDD505-2E9C-101B-9397-08002B2CF9AE}" pid="18" name="MSIP_Label_06530cf4-8573-4c29-a912-bbcdac835909_ContentBits">
    <vt:lpwstr>2</vt:lpwstr>
  </property>
</Properties>
</file>